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iMi\CloudEspGps\"/>
    </mc:Choice>
  </mc:AlternateContent>
  <xr:revisionPtr revIDLastSave="0" documentId="13_ncr:1_{2A4139C9-E4BB-4B64-BB6A-BF9B06930D74}" xr6:coauthVersionLast="47" xr6:coauthVersionMax="47" xr10:uidLastSave="{00000000-0000-0000-0000-000000000000}"/>
  <bookViews>
    <workbookView xWindow="-120" yWindow="-120" windowWidth="15600" windowHeight="11160" tabRatio="737" firstSheet="2" activeTab="12" xr2:uid="{00000000-000D-0000-FFFF-FFFF00000000}"/>
  </bookViews>
  <sheets>
    <sheet name="S(變)" sheetId="7" r:id="rId1"/>
    <sheet name="S" sheetId="56" r:id="rId2"/>
    <sheet name="D夾" sheetId="29" r:id="rId3"/>
    <sheet name="F夾" sheetId="28" r:id="rId4"/>
    <sheet name="F" sheetId="60" r:id="rId5"/>
    <sheet name="c" sheetId="75" r:id="rId6"/>
    <sheet name="c夾" sheetId="32" r:id="rId7"/>
    <sheet name="1D" sheetId="86" r:id="rId8"/>
    <sheet name="2c" sheetId="95" r:id="rId9"/>
    <sheet name="3S" sheetId="88" r:id="rId10"/>
    <sheet name="4c" sheetId="96" r:id="rId11"/>
    <sheet name="5c" sheetId="97" r:id="rId12"/>
    <sheet name="6c" sheetId="98" r:id="rId13"/>
  </sheets>
  <definedNames>
    <definedName name="_xlnm._FilterDatabase" localSheetId="8" hidden="1">'2c'!$D$1:$E$5</definedName>
    <definedName name="_xlnm._FilterDatabase" localSheetId="9" hidden="1">'3S'!$A$2:$K$3</definedName>
    <definedName name="_xlnm._FilterDatabase" localSheetId="10" hidden="1">'4c'!$D$1:$E$5</definedName>
    <definedName name="_xlnm._FilterDatabase" localSheetId="11" hidden="1">'5c'!$D$1:$E$5</definedName>
    <definedName name="_xlnm._FilterDatabase" localSheetId="12" hidden="1">'6c'!$D$1:$E$5</definedName>
    <definedName name="_xlnm._FilterDatabase" localSheetId="5" hidden="1">'c'!$D$1:$E$5</definedName>
    <definedName name="_xlnm._FilterDatabase" localSheetId="1" hidden="1">S!$A$2:$K$3</definedName>
    <definedName name="_xlnm._FilterDatabase" localSheetId="0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98" l="1"/>
  <c r="J88" i="98"/>
  <c r="F88" i="98"/>
  <c r="B88" i="98"/>
  <c r="J87" i="98"/>
  <c r="F87" i="98"/>
  <c r="B87" i="98"/>
  <c r="J86" i="98"/>
  <c r="F86" i="98"/>
  <c r="B86" i="98"/>
  <c r="J85" i="98"/>
  <c r="F85" i="98"/>
  <c r="B85" i="98"/>
  <c r="J84" i="98"/>
  <c r="F84" i="98"/>
  <c r="B84" i="98"/>
  <c r="J83" i="98"/>
  <c r="F83" i="98"/>
  <c r="B83" i="98"/>
  <c r="J82" i="98"/>
  <c r="F82" i="98"/>
  <c r="B82" i="98"/>
  <c r="J81" i="98"/>
  <c r="F81" i="98"/>
  <c r="B81" i="98"/>
  <c r="J80" i="98"/>
  <c r="F80" i="98"/>
  <c r="B80" i="98"/>
  <c r="J79" i="98"/>
  <c r="F79" i="98"/>
  <c r="B79" i="98"/>
  <c r="J78" i="98"/>
  <c r="F78" i="98"/>
  <c r="B78" i="98"/>
  <c r="J77" i="98"/>
  <c r="F77" i="98"/>
  <c r="B77" i="98"/>
  <c r="J76" i="98"/>
  <c r="F76" i="98"/>
  <c r="B76" i="98"/>
  <c r="J75" i="98"/>
  <c r="F75" i="98"/>
  <c r="B75" i="98"/>
  <c r="J74" i="98"/>
  <c r="F74" i="98"/>
  <c r="B74" i="98"/>
  <c r="J73" i="98"/>
  <c r="F73" i="98"/>
  <c r="B73" i="98"/>
  <c r="J72" i="98"/>
  <c r="F72" i="98"/>
  <c r="B72" i="98"/>
  <c r="J71" i="98"/>
  <c r="F71" i="98"/>
  <c r="B71" i="98"/>
  <c r="J70" i="98"/>
  <c r="F70" i="98"/>
  <c r="B70" i="98"/>
  <c r="J69" i="98"/>
  <c r="F69" i="98"/>
  <c r="B69" i="98"/>
  <c r="J68" i="98"/>
  <c r="F68" i="98"/>
  <c r="B68" i="98"/>
  <c r="J67" i="98"/>
  <c r="F67" i="98"/>
  <c r="B67" i="98"/>
  <c r="J66" i="98"/>
  <c r="F66" i="98"/>
  <c r="B66" i="98"/>
  <c r="J65" i="98"/>
  <c r="F65" i="98"/>
  <c r="B65" i="98"/>
  <c r="J64" i="98"/>
  <c r="F64" i="98"/>
  <c r="B64" i="98"/>
  <c r="J63" i="98"/>
  <c r="F63" i="98"/>
  <c r="B63" i="98"/>
  <c r="J62" i="98"/>
  <c r="F62" i="98"/>
  <c r="B62" i="98"/>
  <c r="J61" i="98"/>
  <c r="F61" i="98"/>
  <c r="B61" i="98"/>
  <c r="J60" i="98"/>
  <c r="F60" i="98"/>
  <c r="B60" i="98"/>
  <c r="J59" i="98"/>
  <c r="F59" i="98"/>
  <c r="B59" i="98"/>
  <c r="J58" i="98"/>
  <c r="F58" i="98"/>
  <c r="B58" i="98"/>
  <c r="J57" i="98"/>
  <c r="F57" i="98"/>
  <c r="B57" i="98"/>
  <c r="J56" i="98"/>
  <c r="F56" i="98"/>
  <c r="B56" i="98"/>
  <c r="J55" i="98"/>
  <c r="F55" i="98"/>
  <c r="B55" i="98"/>
  <c r="J54" i="98"/>
  <c r="F54" i="98"/>
  <c r="B54" i="98"/>
  <c r="J53" i="98"/>
  <c r="F53" i="98"/>
  <c r="B53" i="98"/>
  <c r="J52" i="98"/>
  <c r="F52" i="98"/>
  <c r="B52" i="98"/>
  <c r="J51" i="98"/>
  <c r="F51" i="98"/>
  <c r="B51" i="98"/>
  <c r="J50" i="98"/>
  <c r="F50" i="98"/>
  <c r="B50" i="98"/>
  <c r="J49" i="98"/>
  <c r="F49" i="98"/>
  <c r="B49" i="98"/>
  <c r="J48" i="98"/>
  <c r="F48" i="98"/>
  <c r="B48" i="98"/>
  <c r="J47" i="98"/>
  <c r="F47" i="98"/>
  <c r="B47" i="98"/>
  <c r="J46" i="98"/>
  <c r="F46" i="98"/>
  <c r="B46" i="98"/>
  <c r="J45" i="98"/>
  <c r="F45" i="98"/>
  <c r="B45" i="98"/>
  <c r="J44" i="98"/>
  <c r="F44" i="98"/>
  <c r="B44" i="98"/>
  <c r="J43" i="98"/>
  <c r="F43" i="98"/>
  <c r="B43" i="98"/>
  <c r="J42" i="98"/>
  <c r="F42" i="98"/>
  <c r="B42" i="98"/>
  <c r="J41" i="98"/>
  <c r="F41" i="98"/>
  <c r="B41" i="98"/>
  <c r="J40" i="98"/>
  <c r="F40" i="98"/>
  <c r="B40" i="98"/>
  <c r="J39" i="98"/>
  <c r="F39" i="98"/>
  <c r="B39" i="98"/>
  <c r="J38" i="98"/>
  <c r="F38" i="98"/>
  <c r="B38" i="98"/>
  <c r="J37" i="98"/>
  <c r="F37" i="98"/>
  <c r="B37" i="98"/>
  <c r="J36" i="98"/>
  <c r="F36" i="98"/>
  <c r="B36" i="98"/>
  <c r="J35" i="98"/>
  <c r="F35" i="98"/>
  <c r="B35" i="98"/>
  <c r="J34" i="98"/>
  <c r="F34" i="98"/>
  <c r="B34" i="98"/>
  <c r="J33" i="98"/>
  <c r="F33" i="98"/>
  <c r="B33" i="98"/>
  <c r="J32" i="98"/>
  <c r="F32" i="98"/>
  <c r="B32" i="98"/>
  <c r="J31" i="98"/>
  <c r="F31" i="98"/>
  <c r="B31" i="98"/>
  <c r="J30" i="98"/>
  <c r="F30" i="98"/>
  <c r="B30" i="98"/>
  <c r="J29" i="98"/>
  <c r="F29" i="98"/>
  <c r="B29" i="98"/>
  <c r="J28" i="98"/>
  <c r="F28" i="98"/>
  <c r="B28" i="98"/>
  <c r="J27" i="98"/>
  <c r="F27" i="98"/>
  <c r="B27" i="98"/>
  <c r="J26" i="98"/>
  <c r="F26" i="98"/>
  <c r="B26" i="98"/>
  <c r="J25" i="98"/>
  <c r="F25" i="98"/>
  <c r="B25" i="98"/>
  <c r="J24" i="98"/>
  <c r="F24" i="98"/>
  <c r="B24" i="98"/>
  <c r="J23" i="98"/>
  <c r="F23" i="98"/>
  <c r="B23" i="98"/>
  <c r="J22" i="98"/>
  <c r="F22" i="98"/>
  <c r="B22" i="98"/>
  <c r="J21" i="98"/>
  <c r="F21" i="98"/>
  <c r="B21" i="98"/>
  <c r="J20" i="98"/>
  <c r="F20" i="98"/>
  <c r="B20" i="98"/>
  <c r="J19" i="98"/>
  <c r="F19" i="98"/>
  <c r="B19" i="98"/>
  <c r="J18" i="98"/>
  <c r="F18" i="98"/>
  <c r="B18" i="98"/>
  <c r="J17" i="98"/>
  <c r="F17" i="98"/>
  <c r="B17" i="98"/>
  <c r="J16" i="98"/>
  <c r="F16" i="98"/>
  <c r="B16" i="98"/>
  <c r="J15" i="98"/>
  <c r="F15" i="98"/>
  <c r="B15" i="98"/>
  <c r="J14" i="98"/>
  <c r="F14" i="98"/>
  <c r="B14" i="98"/>
  <c r="J13" i="98"/>
  <c r="F13" i="98"/>
  <c r="B13" i="98"/>
  <c r="J12" i="98"/>
  <c r="F12" i="98"/>
  <c r="B12" i="98"/>
  <c r="J11" i="98"/>
  <c r="F11" i="98"/>
  <c r="B11" i="98"/>
  <c r="J10" i="98"/>
  <c r="F10" i="98"/>
  <c r="B10" i="98"/>
  <c r="J9" i="98"/>
  <c r="F9" i="98"/>
  <c r="B9" i="98"/>
  <c r="J8" i="98"/>
  <c r="F8" i="98"/>
  <c r="B8" i="98"/>
  <c r="J7" i="98"/>
  <c r="F7" i="98"/>
  <c r="B7" i="98"/>
  <c r="J6" i="98"/>
  <c r="F6" i="98"/>
  <c r="B6" i="98"/>
  <c r="J5" i="98"/>
  <c r="F5" i="98"/>
  <c r="B5" i="98"/>
  <c r="J4" i="98"/>
  <c r="F4" i="98"/>
  <c r="B4" i="98"/>
  <c r="J3" i="98"/>
  <c r="F3" i="98"/>
  <c r="B3" i="98"/>
  <c r="J2" i="98"/>
  <c r="F2" i="98"/>
  <c r="G1" i="98" s="1"/>
  <c r="B2" i="98"/>
  <c r="C1" i="98"/>
  <c r="K1" i="97"/>
  <c r="J88" i="97"/>
  <c r="F88" i="97"/>
  <c r="B88" i="97"/>
  <c r="J87" i="97"/>
  <c r="F87" i="97"/>
  <c r="B87" i="97"/>
  <c r="J86" i="97"/>
  <c r="F86" i="97"/>
  <c r="B86" i="97"/>
  <c r="J85" i="97"/>
  <c r="F85" i="97"/>
  <c r="B85" i="97"/>
  <c r="J84" i="97"/>
  <c r="F84" i="97"/>
  <c r="B84" i="97"/>
  <c r="J83" i="97"/>
  <c r="F83" i="97"/>
  <c r="B83" i="97"/>
  <c r="J82" i="97"/>
  <c r="F82" i="97"/>
  <c r="B82" i="97"/>
  <c r="J81" i="97"/>
  <c r="F81" i="97"/>
  <c r="B81" i="97"/>
  <c r="J80" i="97"/>
  <c r="F80" i="97"/>
  <c r="B80" i="97"/>
  <c r="J79" i="97"/>
  <c r="F79" i="97"/>
  <c r="B79" i="97"/>
  <c r="J78" i="97"/>
  <c r="F78" i="97"/>
  <c r="B78" i="97"/>
  <c r="J77" i="97"/>
  <c r="F77" i="97"/>
  <c r="B77" i="97"/>
  <c r="J76" i="97"/>
  <c r="F76" i="97"/>
  <c r="B76" i="97"/>
  <c r="J75" i="97"/>
  <c r="F75" i="97"/>
  <c r="B75" i="97"/>
  <c r="J74" i="97"/>
  <c r="F74" i="97"/>
  <c r="B74" i="97"/>
  <c r="J73" i="97"/>
  <c r="F73" i="97"/>
  <c r="B73" i="97"/>
  <c r="J72" i="97"/>
  <c r="F72" i="97"/>
  <c r="B72" i="97"/>
  <c r="J71" i="97"/>
  <c r="F71" i="97"/>
  <c r="B71" i="97"/>
  <c r="J70" i="97"/>
  <c r="F70" i="97"/>
  <c r="B70" i="97"/>
  <c r="J69" i="97"/>
  <c r="F69" i="97"/>
  <c r="B69" i="97"/>
  <c r="J68" i="97"/>
  <c r="F68" i="97"/>
  <c r="B68" i="97"/>
  <c r="J67" i="97"/>
  <c r="F67" i="97"/>
  <c r="B67" i="97"/>
  <c r="J66" i="97"/>
  <c r="F66" i="97"/>
  <c r="B66" i="97"/>
  <c r="J65" i="97"/>
  <c r="F65" i="97"/>
  <c r="B65" i="97"/>
  <c r="J64" i="97"/>
  <c r="F64" i="97"/>
  <c r="B64" i="97"/>
  <c r="J63" i="97"/>
  <c r="F63" i="97"/>
  <c r="B63" i="97"/>
  <c r="J62" i="97"/>
  <c r="F62" i="97"/>
  <c r="B62" i="97"/>
  <c r="J61" i="97"/>
  <c r="F61" i="97"/>
  <c r="B61" i="97"/>
  <c r="J60" i="97"/>
  <c r="F60" i="97"/>
  <c r="B60" i="97"/>
  <c r="J59" i="97"/>
  <c r="F59" i="97"/>
  <c r="B59" i="97"/>
  <c r="J58" i="97"/>
  <c r="F58" i="97"/>
  <c r="B58" i="97"/>
  <c r="J57" i="97"/>
  <c r="F57" i="97"/>
  <c r="B57" i="97"/>
  <c r="J56" i="97"/>
  <c r="F56" i="97"/>
  <c r="B56" i="97"/>
  <c r="J55" i="97"/>
  <c r="F55" i="97"/>
  <c r="B55" i="97"/>
  <c r="J54" i="97"/>
  <c r="F54" i="97"/>
  <c r="B54" i="97"/>
  <c r="J53" i="97"/>
  <c r="F53" i="97"/>
  <c r="B53" i="97"/>
  <c r="J52" i="97"/>
  <c r="F52" i="97"/>
  <c r="B52" i="97"/>
  <c r="J51" i="97"/>
  <c r="F51" i="97"/>
  <c r="B51" i="97"/>
  <c r="J50" i="97"/>
  <c r="F50" i="97"/>
  <c r="B50" i="97"/>
  <c r="J49" i="97"/>
  <c r="F49" i="97"/>
  <c r="B49" i="97"/>
  <c r="J48" i="97"/>
  <c r="F48" i="97"/>
  <c r="B48" i="97"/>
  <c r="J47" i="97"/>
  <c r="F47" i="97"/>
  <c r="B47" i="97"/>
  <c r="J46" i="97"/>
  <c r="F46" i="97"/>
  <c r="B46" i="97"/>
  <c r="J45" i="97"/>
  <c r="F45" i="97"/>
  <c r="B45" i="97"/>
  <c r="J44" i="97"/>
  <c r="F44" i="97"/>
  <c r="B44" i="97"/>
  <c r="J43" i="97"/>
  <c r="F43" i="97"/>
  <c r="B43" i="97"/>
  <c r="J42" i="97"/>
  <c r="F42" i="97"/>
  <c r="B42" i="97"/>
  <c r="J41" i="97"/>
  <c r="F41" i="97"/>
  <c r="B41" i="97"/>
  <c r="J40" i="97"/>
  <c r="F40" i="97"/>
  <c r="B40" i="97"/>
  <c r="J39" i="97"/>
  <c r="F39" i="97"/>
  <c r="B39" i="97"/>
  <c r="J38" i="97"/>
  <c r="F38" i="97"/>
  <c r="B38" i="97"/>
  <c r="J37" i="97"/>
  <c r="F37" i="97"/>
  <c r="B37" i="97"/>
  <c r="J36" i="97"/>
  <c r="F36" i="97"/>
  <c r="B36" i="97"/>
  <c r="J35" i="97"/>
  <c r="F35" i="97"/>
  <c r="B35" i="97"/>
  <c r="J34" i="97"/>
  <c r="F34" i="97"/>
  <c r="B34" i="97"/>
  <c r="J33" i="97"/>
  <c r="F33" i="97"/>
  <c r="B33" i="97"/>
  <c r="J32" i="97"/>
  <c r="F32" i="97"/>
  <c r="B32" i="97"/>
  <c r="J31" i="97"/>
  <c r="F31" i="97"/>
  <c r="B31" i="97"/>
  <c r="J30" i="97"/>
  <c r="F30" i="97"/>
  <c r="B30" i="97"/>
  <c r="J29" i="97"/>
  <c r="F29" i="97"/>
  <c r="B29" i="97"/>
  <c r="J28" i="97"/>
  <c r="F28" i="97"/>
  <c r="B28" i="97"/>
  <c r="J27" i="97"/>
  <c r="F27" i="97"/>
  <c r="B27" i="97"/>
  <c r="J26" i="97"/>
  <c r="F26" i="97"/>
  <c r="B26" i="97"/>
  <c r="J25" i="97"/>
  <c r="F25" i="97"/>
  <c r="B25" i="97"/>
  <c r="J24" i="97"/>
  <c r="F24" i="97"/>
  <c r="B24" i="97"/>
  <c r="J23" i="97"/>
  <c r="F23" i="97"/>
  <c r="B23" i="97"/>
  <c r="J22" i="97"/>
  <c r="F22" i="97"/>
  <c r="B22" i="97"/>
  <c r="J21" i="97"/>
  <c r="F21" i="97"/>
  <c r="B21" i="97"/>
  <c r="J20" i="97"/>
  <c r="F20" i="97"/>
  <c r="B20" i="97"/>
  <c r="J19" i="97"/>
  <c r="F19" i="97"/>
  <c r="B19" i="97"/>
  <c r="J18" i="97"/>
  <c r="F18" i="97"/>
  <c r="B18" i="97"/>
  <c r="J17" i="97"/>
  <c r="F17" i="97"/>
  <c r="B17" i="97"/>
  <c r="J16" i="97"/>
  <c r="F16" i="97"/>
  <c r="B16" i="97"/>
  <c r="J15" i="97"/>
  <c r="F15" i="97"/>
  <c r="B15" i="97"/>
  <c r="J14" i="97"/>
  <c r="F14" i="97"/>
  <c r="B14" i="97"/>
  <c r="J13" i="97"/>
  <c r="F13" i="97"/>
  <c r="B13" i="97"/>
  <c r="J12" i="97"/>
  <c r="F12" i="97"/>
  <c r="B12" i="97"/>
  <c r="J11" i="97"/>
  <c r="F11" i="97"/>
  <c r="B11" i="97"/>
  <c r="J10" i="97"/>
  <c r="F10" i="97"/>
  <c r="B10" i="97"/>
  <c r="J9" i="97"/>
  <c r="F9" i="97"/>
  <c r="B9" i="97"/>
  <c r="J8" i="97"/>
  <c r="F8" i="97"/>
  <c r="B8" i="97"/>
  <c r="J7" i="97"/>
  <c r="F7" i="97"/>
  <c r="B7" i="97"/>
  <c r="J6" i="97"/>
  <c r="F6" i="97"/>
  <c r="B6" i="97"/>
  <c r="J5" i="97"/>
  <c r="F5" i="97"/>
  <c r="B5" i="97"/>
  <c r="J4" i="97"/>
  <c r="F4" i="97"/>
  <c r="B4" i="97"/>
  <c r="J3" i="97"/>
  <c r="F3" i="97"/>
  <c r="B3" i="97"/>
  <c r="J2" i="97"/>
  <c r="F2" i="97"/>
  <c r="G1" i="97" s="1"/>
  <c r="B2" i="97"/>
  <c r="C1" i="97"/>
  <c r="K1" i="96"/>
  <c r="J88" i="96"/>
  <c r="F88" i="96"/>
  <c r="B88" i="96"/>
  <c r="J87" i="96"/>
  <c r="F87" i="96"/>
  <c r="B87" i="96"/>
  <c r="J86" i="96"/>
  <c r="F86" i="96"/>
  <c r="B86" i="96"/>
  <c r="J85" i="96"/>
  <c r="F85" i="96"/>
  <c r="B85" i="96"/>
  <c r="J84" i="96"/>
  <c r="F84" i="96"/>
  <c r="B84" i="96"/>
  <c r="J83" i="96"/>
  <c r="F83" i="96"/>
  <c r="B83" i="96"/>
  <c r="J82" i="96"/>
  <c r="F82" i="96"/>
  <c r="B82" i="96"/>
  <c r="J81" i="96"/>
  <c r="F81" i="96"/>
  <c r="B81" i="96"/>
  <c r="J80" i="96"/>
  <c r="F80" i="96"/>
  <c r="B80" i="96"/>
  <c r="J79" i="96"/>
  <c r="F79" i="96"/>
  <c r="B79" i="96"/>
  <c r="J78" i="96"/>
  <c r="F78" i="96"/>
  <c r="B78" i="96"/>
  <c r="J77" i="96"/>
  <c r="F77" i="96"/>
  <c r="B77" i="96"/>
  <c r="J76" i="96"/>
  <c r="F76" i="96"/>
  <c r="B76" i="96"/>
  <c r="J75" i="96"/>
  <c r="F75" i="96"/>
  <c r="B75" i="96"/>
  <c r="J74" i="96"/>
  <c r="F74" i="96"/>
  <c r="B74" i="96"/>
  <c r="J73" i="96"/>
  <c r="F73" i="96"/>
  <c r="B73" i="96"/>
  <c r="J72" i="96"/>
  <c r="F72" i="96"/>
  <c r="B72" i="96"/>
  <c r="J71" i="96"/>
  <c r="F71" i="96"/>
  <c r="B71" i="96"/>
  <c r="J70" i="96"/>
  <c r="F70" i="96"/>
  <c r="B70" i="96"/>
  <c r="J69" i="96"/>
  <c r="F69" i="96"/>
  <c r="B69" i="96"/>
  <c r="J68" i="96"/>
  <c r="F68" i="96"/>
  <c r="B68" i="96"/>
  <c r="J67" i="96"/>
  <c r="F67" i="96"/>
  <c r="B67" i="96"/>
  <c r="J66" i="96"/>
  <c r="F66" i="96"/>
  <c r="B66" i="96"/>
  <c r="J65" i="96"/>
  <c r="F65" i="96"/>
  <c r="B65" i="96"/>
  <c r="J64" i="96"/>
  <c r="F64" i="96"/>
  <c r="B64" i="96"/>
  <c r="J63" i="96"/>
  <c r="F63" i="96"/>
  <c r="B63" i="96"/>
  <c r="J62" i="96"/>
  <c r="F62" i="96"/>
  <c r="B62" i="96"/>
  <c r="J61" i="96"/>
  <c r="F61" i="96"/>
  <c r="B61" i="96"/>
  <c r="J60" i="96"/>
  <c r="F60" i="96"/>
  <c r="B60" i="96"/>
  <c r="J59" i="96"/>
  <c r="F59" i="96"/>
  <c r="B59" i="96"/>
  <c r="J58" i="96"/>
  <c r="F58" i="96"/>
  <c r="B58" i="96"/>
  <c r="J57" i="96"/>
  <c r="F57" i="96"/>
  <c r="B57" i="96"/>
  <c r="J56" i="96"/>
  <c r="F56" i="96"/>
  <c r="B56" i="96"/>
  <c r="J55" i="96"/>
  <c r="F55" i="96"/>
  <c r="B55" i="96"/>
  <c r="J54" i="96"/>
  <c r="F54" i="96"/>
  <c r="B54" i="96"/>
  <c r="J53" i="96"/>
  <c r="F53" i="96"/>
  <c r="B53" i="96"/>
  <c r="J52" i="96"/>
  <c r="F52" i="96"/>
  <c r="B52" i="96"/>
  <c r="J51" i="96"/>
  <c r="F51" i="96"/>
  <c r="B51" i="96"/>
  <c r="J50" i="96"/>
  <c r="F50" i="96"/>
  <c r="B50" i="96"/>
  <c r="J49" i="96"/>
  <c r="F49" i="96"/>
  <c r="B49" i="96"/>
  <c r="J48" i="96"/>
  <c r="F48" i="96"/>
  <c r="B48" i="96"/>
  <c r="J47" i="96"/>
  <c r="F47" i="96"/>
  <c r="B47" i="96"/>
  <c r="J46" i="96"/>
  <c r="F46" i="96"/>
  <c r="B46" i="96"/>
  <c r="J45" i="96"/>
  <c r="F45" i="96"/>
  <c r="B45" i="96"/>
  <c r="J44" i="96"/>
  <c r="F44" i="96"/>
  <c r="B44" i="96"/>
  <c r="J43" i="96"/>
  <c r="F43" i="96"/>
  <c r="B43" i="96"/>
  <c r="J42" i="96"/>
  <c r="F42" i="96"/>
  <c r="B42" i="96"/>
  <c r="J41" i="96"/>
  <c r="F41" i="96"/>
  <c r="B41" i="96"/>
  <c r="J40" i="96"/>
  <c r="F40" i="96"/>
  <c r="B40" i="96"/>
  <c r="J39" i="96"/>
  <c r="F39" i="96"/>
  <c r="B39" i="96"/>
  <c r="J38" i="96"/>
  <c r="F38" i="96"/>
  <c r="B38" i="96"/>
  <c r="J37" i="96"/>
  <c r="F37" i="96"/>
  <c r="B37" i="96"/>
  <c r="J36" i="96"/>
  <c r="F36" i="96"/>
  <c r="B36" i="96"/>
  <c r="J35" i="96"/>
  <c r="F35" i="96"/>
  <c r="B35" i="96"/>
  <c r="J34" i="96"/>
  <c r="F34" i="96"/>
  <c r="B34" i="96"/>
  <c r="J33" i="96"/>
  <c r="F33" i="96"/>
  <c r="B33" i="96"/>
  <c r="J32" i="96"/>
  <c r="F32" i="96"/>
  <c r="B32" i="96"/>
  <c r="J31" i="96"/>
  <c r="F31" i="96"/>
  <c r="B31" i="96"/>
  <c r="J30" i="96"/>
  <c r="F30" i="96"/>
  <c r="B30" i="96"/>
  <c r="J29" i="96"/>
  <c r="F29" i="96"/>
  <c r="B29" i="96"/>
  <c r="J28" i="96"/>
  <c r="F28" i="96"/>
  <c r="B28" i="96"/>
  <c r="J27" i="96"/>
  <c r="F27" i="96"/>
  <c r="B27" i="96"/>
  <c r="J26" i="96"/>
  <c r="F26" i="96"/>
  <c r="B26" i="96"/>
  <c r="J25" i="96"/>
  <c r="F25" i="96"/>
  <c r="B25" i="96"/>
  <c r="J24" i="96"/>
  <c r="F24" i="96"/>
  <c r="B24" i="96"/>
  <c r="J23" i="96"/>
  <c r="F23" i="96"/>
  <c r="B23" i="96"/>
  <c r="J22" i="96"/>
  <c r="F22" i="96"/>
  <c r="B22" i="96"/>
  <c r="J21" i="96"/>
  <c r="F21" i="96"/>
  <c r="B21" i="96"/>
  <c r="J20" i="96"/>
  <c r="F20" i="96"/>
  <c r="B20" i="96"/>
  <c r="J19" i="96"/>
  <c r="F19" i="96"/>
  <c r="B19" i="96"/>
  <c r="J18" i="96"/>
  <c r="F18" i="96"/>
  <c r="B18" i="96"/>
  <c r="J17" i="96"/>
  <c r="F17" i="96"/>
  <c r="B17" i="96"/>
  <c r="J16" i="96"/>
  <c r="F16" i="96"/>
  <c r="B16" i="96"/>
  <c r="J15" i="96"/>
  <c r="F15" i="96"/>
  <c r="B15" i="96"/>
  <c r="J14" i="96"/>
  <c r="F14" i="96"/>
  <c r="B14" i="96"/>
  <c r="J13" i="96"/>
  <c r="F13" i="96"/>
  <c r="B13" i="96"/>
  <c r="J12" i="96"/>
  <c r="F12" i="96"/>
  <c r="B12" i="96"/>
  <c r="J11" i="96"/>
  <c r="F11" i="96"/>
  <c r="B11" i="96"/>
  <c r="J10" i="96"/>
  <c r="F10" i="96"/>
  <c r="B10" i="96"/>
  <c r="J9" i="96"/>
  <c r="F9" i="96"/>
  <c r="B9" i="96"/>
  <c r="J8" i="96"/>
  <c r="F8" i="96"/>
  <c r="B8" i="96"/>
  <c r="J7" i="96"/>
  <c r="F7" i="96"/>
  <c r="B7" i="96"/>
  <c r="J6" i="96"/>
  <c r="F6" i="96"/>
  <c r="B6" i="96"/>
  <c r="J5" i="96"/>
  <c r="F5" i="96"/>
  <c r="B5" i="96"/>
  <c r="J4" i="96"/>
  <c r="F4" i="96"/>
  <c r="B4" i="96"/>
  <c r="J3" i="96"/>
  <c r="F3" i="96"/>
  <c r="B3" i="96"/>
  <c r="J2" i="96"/>
  <c r="F2" i="96"/>
  <c r="G1" i="96" s="1"/>
  <c r="B2" i="96"/>
  <c r="C1" i="96"/>
  <c r="K1" i="95"/>
  <c r="J88" i="95"/>
  <c r="F88" i="95"/>
  <c r="B88" i="95"/>
  <c r="J87" i="95"/>
  <c r="F87" i="95"/>
  <c r="B87" i="95"/>
  <c r="J86" i="95"/>
  <c r="F86" i="95"/>
  <c r="B86" i="95"/>
  <c r="J85" i="95"/>
  <c r="F85" i="95"/>
  <c r="B85" i="95"/>
  <c r="J84" i="95"/>
  <c r="F84" i="95"/>
  <c r="B84" i="95"/>
  <c r="J83" i="95"/>
  <c r="F83" i="95"/>
  <c r="B83" i="95"/>
  <c r="J82" i="95"/>
  <c r="F82" i="95"/>
  <c r="B82" i="95"/>
  <c r="J81" i="95"/>
  <c r="F81" i="95"/>
  <c r="B81" i="95"/>
  <c r="J80" i="95"/>
  <c r="F80" i="95"/>
  <c r="B80" i="95"/>
  <c r="J79" i="95"/>
  <c r="F79" i="95"/>
  <c r="B79" i="95"/>
  <c r="J78" i="95"/>
  <c r="F78" i="95"/>
  <c r="B78" i="95"/>
  <c r="J77" i="95"/>
  <c r="F77" i="95"/>
  <c r="B77" i="95"/>
  <c r="J76" i="95"/>
  <c r="F76" i="95"/>
  <c r="B76" i="95"/>
  <c r="J75" i="95"/>
  <c r="F75" i="95"/>
  <c r="B75" i="95"/>
  <c r="J74" i="95"/>
  <c r="F74" i="95"/>
  <c r="B74" i="95"/>
  <c r="J73" i="95"/>
  <c r="F73" i="95"/>
  <c r="B73" i="95"/>
  <c r="J72" i="95"/>
  <c r="F72" i="95"/>
  <c r="B72" i="95"/>
  <c r="J71" i="95"/>
  <c r="F71" i="95"/>
  <c r="B71" i="95"/>
  <c r="J70" i="95"/>
  <c r="F70" i="95"/>
  <c r="B70" i="95"/>
  <c r="J69" i="95"/>
  <c r="F69" i="95"/>
  <c r="B69" i="95"/>
  <c r="J68" i="95"/>
  <c r="F68" i="95"/>
  <c r="B68" i="95"/>
  <c r="J67" i="95"/>
  <c r="F67" i="95"/>
  <c r="B67" i="95"/>
  <c r="J66" i="95"/>
  <c r="F66" i="95"/>
  <c r="B66" i="95"/>
  <c r="J65" i="95"/>
  <c r="F65" i="95"/>
  <c r="B65" i="95"/>
  <c r="J64" i="95"/>
  <c r="F64" i="95"/>
  <c r="B64" i="95"/>
  <c r="J63" i="95"/>
  <c r="F63" i="95"/>
  <c r="B63" i="95"/>
  <c r="J62" i="95"/>
  <c r="F62" i="95"/>
  <c r="B62" i="95"/>
  <c r="J61" i="95"/>
  <c r="F61" i="95"/>
  <c r="B61" i="95"/>
  <c r="J60" i="95"/>
  <c r="F60" i="95"/>
  <c r="B60" i="95"/>
  <c r="J59" i="95"/>
  <c r="F59" i="95"/>
  <c r="B59" i="95"/>
  <c r="J58" i="95"/>
  <c r="F58" i="95"/>
  <c r="B58" i="95"/>
  <c r="J57" i="95"/>
  <c r="F57" i="95"/>
  <c r="B57" i="95"/>
  <c r="J56" i="95"/>
  <c r="F56" i="95"/>
  <c r="B56" i="95"/>
  <c r="J55" i="95"/>
  <c r="F55" i="95"/>
  <c r="B55" i="95"/>
  <c r="J54" i="95"/>
  <c r="F54" i="95"/>
  <c r="B54" i="95"/>
  <c r="J53" i="95"/>
  <c r="F53" i="95"/>
  <c r="B53" i="95"/>
  <c r="J52" i="95"/>
  <c r="F52" i="95"/>
  <c r="B52" i="95"/>
  <c r="J51" i="95"/>
  <c r="F51" i="95"/>
  <c r="B51" i="95"/>
  <c r="J50" i="95"/>
  <c r="F50" i="95"/>
  <c r="B50" i="95"/>
  <c r="J49" i="95"/>
  <c r="F49" i="95"/>
  <c r="B49" i="95"/>
  <c r="J48" i="95"/>
  <c r="F48" i="95"/>
  <c r="B48" i="95"/>
  <c r="J47" i="95"/>
  <c r="F47" i="95"/>
  <c r="B47" i="95"/>
  <c r="J46" i="95"/>
  <c r="F46" i="95"/>
  <c r="B46" i="95"/>
  <c r="J45" i="95"/>
  <c r="F45" i="95"/>
  <c r="B45" i="95"/>
  <c r="J44" i="95"/>
  <c r="F44" i="95"/>
  <c r="B44" i="95"/>
  <c r="J43" i="95"/>
  <c r="F43" i="95"/>
  <c r="B43" i="95"/>
  <c r="J42" i="95"/>
  <c r="F42" i="95"/>
  <c r="B42" i="95"/>
  <c r="J41" i="95"/>
  <c r="F41" i="95"/>
  <c r="B41" i="95"/>
  <c r="J40" i="95"/>
  <c r="F40" i="95"/>
  <c r="B40" i="95"/>
  <c r="J39" i="95"/>
  <c r="F39" i="95"/>
  <c r="B39" i="95"/>
  <c r="J38" i="95"/>
  <c r="F38" i="95"/>
  <c r="B38" i="95"/>
  <c r="J37" i="95"/>
  <c r="F37" i="95"/>
  <c r="B37" i="95"/>
  <c r="J36" i="95"/>
  <c r="F36" i="95"/>
  <c r="B36" i="95"/>
  <c r="J35" i="95"/>
  <c r="F35" i="95"/>
  <c r="B35" i="95"/>
  <c r="J34" i="95"/>
  <c r="F34" i="95"/>
  <c r="B34" i="95"/>
  <c r="J33" i="95"/>
  <c r="F33" i="95"/>
  <c r="B33" i="95"/>
  <c r="J32" i="95"/>
  <c r="F32" i="95"/>
  <c r="B32" i="95"/>
  <c r="J31" i="95"/>
  <c r="F31" i="95"/>
  <c r="B31" i="95"/>
  <c r="J30" i="95"/>
  <c r="F30" i="95"/>
  <c r="B30" i="95"/>
  <c r="J29" i="95"/>
  <c r="F29" i="95"/>
  <c r="B29" i="95"/>
  <c r="J28" i="95"/>
  <c r="F28" i="95"/>
  <c r="B28" i="95"/>
  <c r="J27" i="95"/>
  <c r="F27" i="95"/>
  <c r="B27" i="95"/>
  <c r="J26" i="95"/>
  <c r="F26" i="95"/>
  <c r="B26" i="95"/>
  <c r="J25" i="95"/>
  <c r="F25" i="95"/>
  <c r="B25" i="95"/>
  <c r="J24" i="95"/>
  <c r="F24" i="95"/>
  <c r="B24" i="95"/>
  <c r="J23" i="95"/>
  <c r="F23" i="95"/>
  <c r="B23" i="95"/>
  <c r="J22" i="95"/>
  <c r="F22" i="95"/>
  <c r="B22" i="95"/>
  <c r="J21" i="95"/>
  <c r="F21" i="95"/>
  <c r="B21" i="95"/>
  <c r="J20" i="95"/>
  <c r="F20" i="95"/>
  <c r="B20" i="95"/>
  <c r="J19" i="95"/>
  <c r="F19" i="95"/>
  <c r="B19" i="95"/>
  <c r="J18" i="95"/>
  <c r="F18" i="95"/>
  <c r="B18" i="95"/>
  <c r="J17" i="95"/>
  <c r="F17" i="95"/>
  <c r="B17" i="95"/>
  <c r="J16" i="95"/>
  <c r="F16" i="95"/>
  <c r="B16" i="95"/>
  <c r="J15" i="95"/>
  <c r="F15" i="95"/>
  <c r="B15" i="95"/>
  <c r="J14" i="95"/>
  <c r="F14" i="95"/>
  <c r="B14" i="95"/>
  <c r="J13" i="95"/>
  <c r="F13" i="95"/>
  <c r="B13" i="95"/>
  <c r="J12" i="95"/>
  <c r="F12" i="95"/>
  <c r="B12" i="95"/>
  <c r="J11" i="95"/>
  <c r="F11" i="95"/>
  <c r="B11" i="95"/>
  <c r="J10" i="95"/>
  <c r="F10" i="95"/>
  <c r="B10" i="95"/>
  <c r="J9" i="95"/>
  <c r="F9" i="95"/>
  <c r="B9" i="95"/>
  <c r="J8" i="95"/>
  <c r="F8" i="95"/>
  <c r="B8" i="95"/>
  <c r="J7" i="95"/>
  <c r="F7" i="95"/>
  <c r="B7" i="95"/>
  <c r="J6" i="95"/>
  <c r="F6" i="95"/>
  <c r="B6" i="95"/>
  <c r="J5" i="95"/>
  <c r="F5" i="95"/>
  <c r="B5" i="95"/>
  <c r="J4" i="95"/>
  <c r="F4" i="95"/>
  <c r="B4" i="95"/>
  <c r="J3" i="95"/>
  <c r="F3" i="95"/>
  <c r="B3" i="95"/>
  <c r="J2" i="95"/>
  <c r="F2" i="95"/>
  <c r="G1" i="95" s="1"/>
  <c r="B2" i="95"/>
  <c r="C1" i="95"/>
  <c r="H4" i="86"/>
  <c r="B118" i="88"/>
  <c r="B117" i="88"/>
  <c r="B116" i="88"/>
  <c r="B115" i="88"/>
  <c r="B114" i="88"/>
  <c r="B113" i="88"/>
  <c r="B112" i="88"/>
  <c r="B111" i="88"/>
  <c r="B110" i="88"/>
  <c r="B109" i="88"/>
  <c r="B108" i="88"/>
  <c r="B107" i="88"/>
  <c r="B106" i="88"/>
  <c r="B105" i="88"/>
  <c r="B104" i="88"/>
  <c r="B103" i="88"/>
  <c r="B102" i="88"/>
  <c r="B101" i="88"/>
  <c r="B100" i="88"/>
  <c r="B99" i="88"/>
  <c r="B98" i="88"/>
  <c r="B97" i="88"/>
  <c r="B96" i="88"/>
  <c r="B95" i="88"/>
  <c r="B94" i="88"/>
  <c r="B93" i="88"/>
  <c r="B92" i="88"/>
  <c r="B91" i="88"/>
  <c r="B90" i="88"/>
  <c r="B89" i="88"/>
  <c r="B88" i="88"/>
  <c r="B87" i="88"/>
  <c r="B86" i="88"/>
  <c r="B85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B67" i="88"/>
  <c r="B66" i="88"/>
  <c r="B65" i="88"/>
  <c r="B64" i="88"/>
  <c r="B63" i="88"/>
  <c r="B62" i="88"/>
  <c r="B61" i="88"/>
  <c r="B60" i="88"/>
  <c r="B59" i="88"/>
  <c r="B58" i="88"/>
  <c r="B57" i="88"/>
  <c r="B56" i="88"/>
  <c r="B55" i="88"/>
  <c r="B54" i="88"/>
  <c r="B53" i="88"/>
  <c r="B52" i="88"/>
  <c r="B51" i="88"/>
  <c r="B50" i="88"/>
  <c r="B49" i="88"/>
  <c r="B48" i="88"/>
  <c r="B47" i="88"/>
  <c r="B46" i="88"/>
  <c r="B45" i="88"/>
  <c r="B44" i="88"/>
  <c r="B43" i="88"/>
  <c r="B42" i="88"/>
  <c r="B41" i="88"/>
  <c r="B40" i="88"/>
  <c r="B3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F11" i="88"/>
  <c r="B11" i="88"/>
  <c r="B10" i="88"/>
  <c r="F9" i="88"/>
  <c r="B9" i="88"/>
  <c r="B8" i="88"/>
  <c r="F7" i="88"/>
  <c r="B7" i="88"/>
  <c r="B6" i="88"/>
  <c r="F5" i="88"/>
  <c r="B5" i="88"/>
  <c r="B4" i="88"/>
  <c r="F3" i="88"/>
  <c r="B3" i="88"/>
  <c r="B2" i="88"/>
  <c r="F1" i="88"/>
  <c r="F88" i="86"/>
  <c r="D88" i="86"/>
  <c r="B88" i="86"/>
  <c r="F87" i="86"/>
  <c r="D87" i="86"/>
  <c r="B87" i="86"/>
  <c r="F86" i="86"/>
  <c r="D86" i="86"/>
  <c r="B86" i="86"/>
  <c r="F85" i="86"/>
  <c r="D85" i="86"/>
  <c r="B85" i="86"/>
  <c r="F84" i="86"/>
  <c r="D84" i="86"/>
  <c r="B84" i="86"/>
  <c r="F83" i="86"/>
  <c r="D83" i="86"/>
  <c r="B83" i="86"/>
  <c r="F82" i="86"/>
  <c r="D82" i="86"/>
  <c r="B82" i="86"/>
  <c r="F81" i="86"/>
  <c r="D81" i="86"/>
  <c r="B81" i="86"/>
  <c r="F80" i="86"/>
  <c r="D80" i="86"/>
  <c r="B80" i="86"/>
  <c r="F79" i="86"/>
  <c r="D79" i="86"/>
  <c r="B79" i="86"/>
  <c r="F78" i="86"/>
  <c r="D78" i="86"/>
  <c r="B78" i="86"/>
  <c r="F77" i="86"/>
  <c r="D77" i="86"/>
  <c r="B77" i="86"/>
  <c r="F76" i="86"/>
  <c r="D76" i="86"/>
  <c r="B76" i="86"/>
  <c r="F75" i="86"/>
  <c r="D75" i="86"/>
  <c r="B75" i="86"/>
  <c r="F74" i="86"/>
  <c r="D74" i="86"/>
  <c r="B74" i="86"/>
  <c r="F73" i="86"/>
  <c r="D73" i="86"/>
  <c r="B73" i="86"/>
  <c r="F72" i="86"/>
  <c r="D72" i="86"/>
  <c r="B72" i="86"/>
  <c r="F71" i="86"/>
  <c r="D71" i="86"/>
  <c r="B71" i="86"/>
  <c r="F70" i="86"/>
  <c r="D70" i="86"/>
  <c r="B70" i="86"/>
  <c r="F69" i="86"/>
  <c r="D69" i="86"/>
  <c r="B69" i="86"/>
  <c r="F68" i="86"/>
  <c r="D68" i="86"/>
  <c r="B68" i="86"/>
  <c r="F67" i="86"/>
  <c r="D67" i="86"/>
  <c r="B67" i="86"/>
  <c r="F66" i="86"/>
  <c r="D66" i="86"/>
  <c r="B66" i="86"/>
  <c r="F65" i="86"/>
  <c r="D65" i="86"/>
  <c r="B65" i="86"/>
  <c r="F64" i="86"/>
  <c r="D64" i="86"/>
  <c r="B64" i="86"/>
  <c r="F63" i="86"/>
  <c r="D63" i="86"/>
  <c r="B63" i="86"/>
  <c r="F62" i="86"/>
  <c r="D62" i="86"/>
  <c r="B62" i="86"/>
  <c r="F61" i="86"/>
  <c r="D61" i="86"/>
  <c r="B61" i="86"/>
  <c r="F60" i="86"/>
  <c r="D60" i="86"/>
  <c r="B60" i="86"/>
  <c r="F59" i="86"/>
  <c r="D59" i="86"/>
  <c r="B59" i="86"/>
  <c r="F58" i="86"/>
  <c r="D58" i="86"/>
  <c r="B58" i="86"/>
  <c r="F57" i="86"/>
  <c r="D57" i="86"/>
  <c r="B57" i="86"/>
  <c r="F56" i="86"/>
  <c r="D56" i="86"/>
  <c r="B56" i="86"/>
  <c r="F55" i="86"/>
  <c r="D55" i="86"/>
  <c r="B55" i="86"/>
  <c r="F54" i="86"/>
  <c r="D54" i="86"/>
  <c r="B54" i="86"/>
  <c r="F53" i="86"/>
  <c r="D53" i="86"/>
  <c r="B53" i="86"/>
  <c r="F52" i="86"/>
  <c r="D52" i="86"/>
  <c r="B52" i="86"/>
  <c r="F51" i="86"/>
  <c r="D51" i="86"/>
  <c r="B51" i="86"/>
  <c r="F50" i="86"/>
  <c r="D50" i="86"/>
  <c r="B50" i="86"/>
  <c r="F49" i="86"/>
  <c r="D49" i="86"/>
  <c r="B49" i="86"/>
  <c r="F48" i="86"/>
  <c r="D48" i="86"/>
  <c r="B48" i="86"/>
  <c r="F47" i="86"/>
  <c r="D47" i="86"/>
  <c r="B47" i="86"/>
  <c r="F46" i="86"/>
  <c r="D46" i="86"/>
  <c r="B46" i="86"/>
  <c r="F45" i="86"/>
  <c r="D45" i="86"/>
  <c r="B45" i="86"/>
  <c r="F44" i="86"/>
  <c r="D44" i="86"/>
  <c r="B44" i="86"/>
  <c r="F43" i="86"/>
  <c r="D43" i="86"/>
  <c r="B43" i="86"/>
  <c r="F42" i="86"/>
  <c r="D42" i="86"/>
  <c r="B42" i="86"/>
  <c r="F41" i="86"/>
  <c r="D41" i="86"/>
  <c r="B41" i="86"/>
  <c r="F40" i="86"/>
  <c r="D40" i="86"/>
  <c r="B40" i="86"/>
  <c r="F39" i="86"/>
  <c r="D39" i="86"/>
  <c r="B39" i="86"/>
  <c r="F38" i="86"/>
  <c r="D38" i="86"/>
  <c r="B38" i="86"/>
  <c r="F37" i="86"/>
  <c r="D37" i="86"/>
  <c r="B37" i="86"/>
  <c r="F36" i="86"/>
  <c r="D36" i="86"/>
  <c r="B36" i="86"/>
  <c r="F35" i="86"/>
  <c r="D35" i="86"/>
  <c r="B35" i="86"/>
  <c r="F34" i="86"/>
  <c r="D34" i="86"/>
  <c r="B34" i="86"/>
  <c r="F33" i="86"/>
  <c r="D33" i="86"/>
  <c r="B33" i="86"/>
  <c r="F32" i="86"/>
  <c r="D32" i="86"/>
  <c r="B32" i="86"/>
  <c r="F31" i="86"/>
  <c r="D31" i="86"/>
  <c r="B31" i="86"/>
  <c r="F30" i="86"/>
  <c r="D30" i="86"/>
  <c r="B30" i="86"/>
  <c r="F29" i="86"/>
  <c r="D29" i="86"/>
  <c r="B29" i="86"/>
  <c r="F28" i="86"/>
  <c r="D28" i="86"/>
  <c r="B28" i="86"/>
  <c r="F27" i="86"/>
  <c r="D27" i="86"/>
  <c r="B27" i="86"/>
  <c r="F26" i="86"/>
  <c r="D26" i="86"/>
  <c r="B26" i="86"/>
  <c r="F25" i="86"/>
  <c r="D25" i="86"/>
  <c r="B25" i="86"/>
  <c r="F24" i="86"/>
  <c r="D24" i="86"/>
  <c r="B24" i="86"/>
  <c r="F23" i="86"/>
  <c r="D23" i="86"/>
  <c r="B23" i="86"/>
  <c r="F22" i="86"/>
  <c r="D22" i="86"/>
  <c r="B22" i="86"/>
  <c r="F21" i="86"/>
  <c r="D21" i="86"/>
  <c r="B21" i="86"/>
  <c r="F20" i="86"/>
  <c r="D20" i="86"/>
  <c r="B20" i="86"/>
  <c r="F19" i="86"/>
  <c r="D19" i="86"/>
  <c r="B19" i="86"/>
  <c r="F18" i="86"/>
  <c r="D18" i="86"/>
  <c r="B18" i="86"/>
  <c r="F17" i="86"/>
  <c r="D17" i="86"/>
  <c r="B17" i="86"/>
  <c r="F16" i="86"/>
  <c r="D16" i="86"/>
  <c r="B16" i="86"/>
  <c r="F15" i="86"/>
  <c r="D15" i="86"/>
  <c r="B15" i="86"/>
  <c r="F14" i="86"/>
  <c r="D14" i="86"/>
  <c r="B14" i="86"/>
  <c r="F13" i="86"/>
  <c r="D13" i="86"/>
  <c r="B13" i="86"/>
  <c r="F12" i="86"/>
  <c r="D12" i="86"/>
  <c r="B12" i="86"/>
  <c r="F11" i="86"/>
  <c r="D11" i="86"/>
  <c r="B11" i="86"/>
  <c r="F10" i="86"/>
  <c r="D10" i="86"/>
  <c r="B10" i="86"/>
  <c r="F9" i="86"/>
  <c r="D9" i="86"/>
  <c r="B9" i="86"/>
  <c r="F8" i="86"/>
  <c r="D8" i="86"/>
  <c r="B8" i="86"/>
  <c r="F7" i="86"/>
  <c r="D7" i="86"/>
  <c r="B7" i="86"/>
  <c r="F6" i="86"/>
  <c r="D6" i="86"/>
  <c r="B6" i="86"/>
  <c r="F5" i="86"/>
  <c r="D5" i="86"/>
  <c r="B5" i="86"/>
  <c r="F4" i="86"/>
  <c r="D4" i="86"/>
  <c r="B4" i="86"/>
  <c r="F3" i="86"/>
  <c r="D3" i="86"/>
  <c r="B3" i="86"/>
  <c r="F2" i="86"/>
  <c r="D2" i="86"/>
  <c r="B2" i="86"/>
  <c r="J88" i="75"/>
  <c r="F88" i="75"/>
  <c r="B88" i="75"/>
  <c r="J87" i="75"/>
  <c r="F87" i="75"/>
  <c r="B87" i="75"/>
  <c r="J86" i="75"/>
  <c r="F86" i="75"/>
  <c r="B86" i="75"/>
  <c r="J85" i="75"/>
  <c r="F85" i="75"/>
  <c r="B85" i="75"/>
  <c r="J84" i="75"/>
  <c r="F84" i="75"/>
  <c r="B84" i="75"/>
  <c r="J83" i="75"/>
  <c r="F83" i="75"/>
  <c r="B83" i="75"/>
  <c r="J82" i="75"/>
  <c r="F82" i="75"/>
  <c r="B82" i="75"/>
  <c r="J81" i="75"/>
  <c r="F81" i="75"/>
  <c r="B81" i="75"/>
  <c r="J80" i="75"/>
  <c r="F80" i="75"/>
  <c r="B80" i="75"/>
  <c r="J79" i="75"/>
  <c r="F79" i="75"/>
  <c r="B79" i="75"/>
  <c r="J78" i="75"/>
  <c r="F78" i="75"/>
  <c r="B78" i="75"/>
  <c r="J77" i="75"/>
  <c r="F77" i="75"/>
  <c r="B77" i="75"/>
  <c r="J76" i="75"/>
  <c r="F76" i="75"/>
  <c r="B76" i="75"/>
  <c r="J75" i="75"/>
  <c r="F75" i="75"/>
  <c r="B75" i="75"/>
  <c r="J74" i="75"/>
  <c r="F74" i="75"/>
  <c r="B74" i="75"/>
  <c r="J73" i="75"/>
  <c r="F73" i="75"/>
  <c r="B73" i="75"/>
  <c r="J72" i="75"/>
  <c r="F72" i="75"/>
  <c r="B72" i="75"/>
  <c r="J71" i="75"/>
  <c r="F71" i="75"/>
  <c r="B71" i="75"/>
  <c r="J70" i="75"/>
  <c r="F70" i="75"/>
  <c r="B70" i="75"/>
  <c r="J69" i="75"/>
  <c r="F69" i="75"/>
  <c r="B69" i="75"/>
  <c r="J68" i="75"/>
  <c r="F68" i="75"/>
  <c r="B68" i="75"/>
  <c r="J67" i="75"/>
  <c r="F67" i="75"/>
  <c r="B67" i="75"/>
  <c r="J66" i="75"/>
  <c r="F66" i="75"/>
  <c r="B66" i="75"/>
  <c r="J65" i="75"/>
  <c r="F65" i="75"/>
  <c r="B65" i="75"/>
  <c r="J64" i="75"/>
  <c r="F64" i="75"/>
  <c r="B64" i="75"/>
  <c r="J63" i="75"/>
  <c r="F63" i="75"/>
  <c r="B63" i="75"/>
  <c r="J62" i="75"/>
  <c r="F62" i="75"/>
  <c r="B62" i="75"/>
  <c r="J61" i="75"/>
  <c r="F61" i="75"/>
  <c r="B61" i="75"/>
  <c r="J60" i="75"/>
  <c r="F60" i="75"/>
  <c r="B60" i="75"/>
  <c r="J59" i="75"/>
  <c r="F59" i="75"/>
  <c r="B59" i="75"/>
  <c r="J58" i="75"/>
  <c r="F58" i="75"/>
  <c r="B58" i="75"/>
  <c r="J57" i="75"/>
  <c r="F57" i="75"/>
  <c r="B57" i="75"/>
  <c r="J56" i="75"/>
  <c r="F56" i="75"/>
  <c r="B56" i="75"/>
  <c r="J55" i="75"/>
  <c r="F55" i="75"/>
  <c r="B55" i="75"/>
  <c r="J54" i="75"/>
  <c r="F54" i="75"/>
  <c r="B54" i="75"/>
  <c r="J53" i="75"/>
  <c r="F53" i="75"/>
  <c r="B53" i="75"/>
  <c r="J52" i="75"/>
  <c r="F52" i="75"/>
  <c r="B52" i="75"/>
  <c r="J51" i="75"/>
  <c r="F51" i="75"/>
  <c r="B51" i="75"/>
  <c r="J50" i="75"/>
  <c r="F50" i="75"/>
  <c r="B50" i="75"/>
  <c r="J49" i="75"/>
  <c r="F49" i="75"/>
  <c r="B49" i="75"/>
  <c r="J48" i="75"/>
  <c r="F48" i="75"/>
  <c r="B48" i="75"/>
  <c r="J47" i="75"/>
  <c r="F47" i="75"/>
  <c r="B47" i="75"/>
  <c r="J46" i="75"/>
  <c r="F46" i="75"/>
  <c r="B46" i="75"/>
  <c r="J45" i="75"/>
  <c r="F45" i="75"/>
  <c r="B45" i="75"/>
  <c r="J44" i="75"/>
  <c r="F44" i="75"/>
  <c r="B44" i="75"/>
  <c r="J43" i="75"/>
  <c r="F43" i="75"/>
  <c r="B43" i="75"/>
  <c r="J42" i="75"/>
  <c r="F42" i="75"/>
  <c r="B42" i="75"/>
  <c r="J41" i="75"/>
  <c r="F41" i="75"/>
  <c r="B41" i="75"/>
  <c r="J40" i="75"/>
  <c r="F40" i="75"/>
  <c r="B40" i="75"/>
  <c r="J39" i="75"/>
  <c r="F39" i="75"/>
  <c r="B39" i="75"/>
  <c r="J38" i="75"/>
  <c r="F38" i="75"/>
  <c r="B38" i="75"/>
  <c r="J37" i="75"/>
  <c r="F37" i="75"/>
  <c r="B37" i="75"/>
  <c r="J36" i="75"/>
  <c r="F36" i="75"/>
  <c r="B36" i="75"/>
  <c r="J35" i="75"/>
  <c r="F35" i="75"/>
  <c r="B35" i="75"/>
  <c r="J34" i="75"/>
  <c r="F34" i="75"/>
  <c r="B34" i="75"/>
  <c r="J33" i="75"/>
  <c r="F33" i="75"/>
  <c r="B33" i="75"/>
  <c r="J32" i="75"/>
  <c r="F32" i="75"/>
  <c r="B32" i="75"/>
  <c r="J31" i="75"/>
  <c r="F31" i="75"/>
  <c r="B31" i="75"/>
  <c r="J30" i="75"/>
  <c r="F30" i="75"/>
  <c r="B30" i="75"/>
  <c r="J29" i="75"/>
  <c r="F29" i="75"/>
  <c r="B29" i="75"/>
  <c r="J28" i="75"/>
  <c r="F28" i="75"/>
  <c r="B28" i="75"/>
  <c r="J27" i="75"/>
  <c r="F27" i="75"/>
  <c r="B27" i="75"/>
  <c r="J26" i="75"/>
  <c r="F26" i="75"/>
  <c r="B26" i="75"/>
  <c r="J25" i="75"/>
  <c r="F25" i="75"/>
  <c r="B25" i="75"/>
  <c r="J24" i="75"/>
  <c r="F24" i="75"/>
  <c r="B24" i="75"/>
  <c r="J23" i="75"/>
  <c r="F23" i="75"/>
  <c r="B23" i="75"/>
  <c r="J22" i="75"/>
  <c r="F22" i="75"/>
  <c r="B22" i="75"/>
  <c r="J21" i="75"/>
  <c r="F21" i="75"/>
  <c r="B21" i="75"/>
  <c r="J20" i="75"/>
  <c r="F20" i="75"/>
  <c r="B20" i="75"/>
  <c r="J19" i="75"/>
  <c r="F19" i="75"/>
  <c r="B19" i="75"/>
  <c r="J18" i="75"/>
  <c r="F18" i="75"/>
  <c r="B18" i="75"/>
  <c r="J17" i="75"/>
  <c r="F17" i="75"/>
  <c r="B17" i="75"/>
  <c r="J16" i="75"/>
  <c r="F16" i="75"/>
  <c r="B16" i="75"/>
  <c r="J15" i="75"/>
  <c r="F15" i="75"/>
  <c r="B15" i="75"/>
  <c r="J14" i="75"/>
  <c r="F14" i="75"/>
  <c r="B14" i="75"/>
  <c r="J13" i="75"/>
  <c r="F13" i="75"/>
  <c r="B13" i="75"/>
  <c r="J12" i="75"/>
  <c r="F12" i="75"/>
  <c r="B12" i="75"/>
  <c r="J11" i="75"/>
  <c r="F11" i="75"/>
  <c r="B11" i="75"/>
  <c r="J10" i="75"/>
  <c r="F10" i="75"/>
  <c r="B10" i="75"/>
  <c r="J9" i="75"/>
  <c r="F9" i="75"/>
  <c r="B9" i="75"/>
  <c r="J8" i="75"/>
  <c r="F8" i="75"/>
  <c r="B8" i="75"/>
  <c r="J7" i="75"/>
  <c r="F7" i="75"/>
  <c r="B7" i="75"/>
  <c r="J6" i="75"/>
  <c r="F6" i="75"/>
  <c r="B6" i="75"/>
  <c r="J5" i="75"/>
  <c r="F5" i="75"/>
  <c r="B5" i="75"/>
  <c r="J4" i="75"/>
  <c r="F4" i="75"/>
  <c r="B4" i="75"/>
  <c r="J3" i="75"/>
  <c r="F3" i="75"/>
  <c r="B3" i="75"/>
  <c r="J2" i="75"/>
  <c r="K1" i="75" s="1"/>
  <c r="F2" i="75"/>
  <c r="B2" i="75"/>
  <c r="C1" i="75" s="1"/>
  <c r="B999" i="60"/>
  <c r="B998" i="60"/>
  <c r="B997" i="60"/>
  <c r="B996" i="60"/>
  <c r="B995" i="60"/>
  <c r="B994" i="60"/>
  <c r="B993" i="60"/>
  <c r="B992" i="60"/>
  <c r="B991" i="60"/>
  <c r="B990" i="60"/>
  <c r="B989" i="60"/>
  <c r="B988" i="60"/>
  <c r="B987" i="60"/>
  <c r="B986" i="60"/>
  <c r="B985" i="60"/>
  <c r="B984" i="60"/>
  <c r="B983" i="60"/>
  <c r="B982" i="60"/>
  <c r="B981" i="60"/>
  <c r="B980" i="60"/>
  <c r="B979" i="60"/>
  <c r="B978" i="60"/>
  <c r="B977" i="60"/>
  <c r="B976" i="60"/>
  <c r="B975" i="60"/>
  <c r="B974" i="60"/>
  <c r="B973" i="60"/>
  <c r="B972" i="60"/>
  <c r="B971" i="60"/>
  <c r="B970" i="60"/>
  <c r="B969" i="60"/>
  <c r="B968" i="60"/>
  <c r="B967" i="60"/>
  <c r="B966" i="60"/>
  <c r="B965" i="60"/>
  <c r="B964" i="60"/>
  <c r="B963" i="60"/>
  <c r="B962" i="60"/>
  <c r="B961" i="60"/>
  <c r="B960" i="60"/>
  <c r="B959" i="60"/>
  <c r="B958" i="60"/>
  <c r="B957" i="60"/>
  <c r="B956" i="60"/>
  <c r="B955" i="60"/>
  <c r="B954" i="60"/>
  <c r="B953" i="60"/>
  <c r="B952" i="60"/>
  <c r="B951" i="60"/>
  <c r="B950" i="60"/>
  <c r="B949" i="60"/>
  <c r="B948" i="60"/>
  <c r="B947" i="60"/>
  <c r="B946" i="60"/>
  <c r="B945" i="60"/>
  <c r="B944" i="60"/>
  <c r="B943" i="60"/>
  <c r="B942" i="60"/>
  <c r="B941" i="60"/>
  <c r="B940" i="60"/>
  <c r="B939" i="60"/>
  <c r="B938" i="60"/>
  <c r="B937" i="60"/>
  <c r="B936" i="60"/>
  <c r="B935" i="60"/>
  <c r="B934" i="60"/>
  <c r="B933" i="60"/>
  <c r="B932" i="60"/>
  <c r="B931" i="60"/>
  <c r="B930" i="60"/>
  <c r="B929" i="60"/>
  <c r="B928" i="60"/>
  <c r="B927" i="60"/>
  <c r="B926" i="60"/>
  <c r="B925" i="60"/>
  <c r="B924" i="60"/>
  <c r="B923" i="60"/>
  <c r="B922" i="60"/>
  <c r="B921" i="60"/>
  <c r="B920" i="60"/>
  <c r="B919" i="60"/>
  <c r="B918" i="60"/>
  <c r="B917" i="60"/>
  <c r="B916" i="60"/>
  <c r="B915" i="60"/>
  <c r="B914" i="60"/>
  <c r="B913" i="60"/>
  <c r="B912" i="60"/>
  <c r="B911" i="60"/>
  <c r="B910" i="60"/>
  <c r="B909" i="60"/>
  <c r="B908" i="60"/>
  <c r="B907" i="60"/>
  <c r="B906" i="60"/>
  <c r="B905" i="60"/>
  <c r="B904" i="60"/>
  <c r="B903" i="60"/>
  <c r="B902" i="60"/>
  <c r="B901" i="60"/>
  <c r="B900" i="60"/>
  <c r="B899" i="60"/>
  <c r="B898" i="60"/>
  <c r="B897" i="60"/>
  <c r="B896" i="60"/>
  <c r="B895" i="60"/>
  <c r="B894" i="60"/>
  <c r="B893" i="60"/>
  <c r="B892" i="60"/>
  <c r="B891" i="60"/>
  <c r="B890" i="60"/>
  <c r="B889" i="60"/>
  <c r="B888" i="60"/>
  <c r="B887" i="60"/>
  <c r="B886" i="60"/>
  <c r="B885" i="60"/>
  <c r="B884" i="60"/>
  <c r="B883" i="60"/>
  <c r="B882" i="60"/>
  <c r="B881" i="60"/>
  <c r="B880" i="60"/>
  <c r="B879" i="60"/>
  <c r="B878" i="60"/>
  <c r="B877" i="60"/>
  <c r="B876" i="60"/>
  <c r="B875" i="60"/>
  <c r="B874" i="60"/>
  <c r="B873" i="60"/>
  <c r="B872" i="60"/>
  <c r="B871" i="60"/>
  <c r="B870" i="60"/>
  <c r="B869" i="60"/>
  <c r="B868" i="60"/>
  <c r="B867" i="60"/>
  <c r="B866" i="60"/>
  <c r="B865" i="60"/>
  <c r="B864" i="60"/>
  <c r="B863" i="60"/>
  <c r="B862" i="60"/>
  <c r="B861" i="60"/>
  <c r="B860" i="60"/>
  <c r="B859" i="60"/>
  <c r="B858" i="60"/>
  <c r="B857" i="60"/>
  <c r="B856" i="60"/>
  <c r="B855" i="60"/>
  <c r="B854" i="60"/>
  <c r="B853" i="60"/>
  <c r="B852" i="60"/>
  <c r="B851" i="60"/>
  <c r="B850" i="60"/>
  <c r="B849" i="60"/>
  <c r="B848" i="60"/>
  <c r="B847" i="60"/>
  <c r="B846" i="60"/>
  <c r="B845" i="60"/>
  <c r="B844" i="60"/>
  <c r="B843" i="60"/>
  <c r="B842" i="60"/>
  <c r="B841" i="60"/>
  <c r="B840" i="60"/>
  <c r="B839" i="60"/>
  <c r="B838" i="60"/>
  <c r="B837" i="60"/>
  <c r="B836" i="60"/>
  <c r="B835" i="60"/>
  <c r="B834" i="60"/>
  <c r="B833" i="60"/>
  <c r="B832" i="60"/>
  <c r="B831" i="60"/>
  <c r="B830" i="60"/>
  <c r="B829" i="60"/>
  <c r="B828" i="60"/>
  <c r="B827" i="60"/>
  <c r="B826" i="60"/>
  <c r="B825" i="60"/>
  <c r="B824" i="60"/>
  <c r="B823" i="60"/>
  <c r="B822" i="60"/>
  <c r="B821" i="60"/>
  <c r="B820" i="60"/>
  <c r="B819" i="60"/>
  <c r="B818" i="60"/>
  <c r="B817" i="60"/>
  <c r="B816" i="60"/>
  <c r="B815" i="60"/>
  <c r="B814" i="60"/>
  <c r="B813" i="60"/>
  <c r="B812" i="60"/>
  <c r="B811" i="60"/>
  <c r="B810" i="60"/>
  <c r="B809" i="60"/>
  <c r="B808" i="60"/>
  <c r="B807" i="60"/>
  <c r="B806" i="60"/>
  <c r="B805" i="60"/>
  <c r="B804" i="60"/>
  <c r="B803" i="60"/>
  <c r="B802" i="60"/>
  <c r="B801" i="60"/>
  <c r="B800" i="60"/>
  <c r="B799" i="60"/>
  <c r="B798" i="60"/>
  <c r="B797" i="60"/>
  <c r="B796" i="60"/>
  <c r="B795" i="60"/>
  <c r="B794" i="60"/>
  <c r="B793" i="60"/>
  <c r="B792" i="60"/>
  <c r="B791" i="60"/>
  <c r="B790" i="60"/>
  <c r="B789" i="60"/>
  <c r="B788" i="60"/>
  <c r="B787" i="60"/>
  <c r="B786" i="60"/>
  <c r="B785" i="60"/>
  <c r="B784" i="60"/>
  <c r="B783" i="60"/>
  <c r="B782" i="60"/>
  <c r="B781" i="60"/>
  <c r="B780" i="60"/>
  <c r="B779" i="60"/>
  <c r="B778" i="60"/>
  <c r="B777" i="60"/>
  <c r="B776" i="60"/>
  <c r="B775" i="60"/>
  <c r="B774" i="60"/>
  <c r="B773" i="60"/>
  <c r="B772" i="60"/>
  <c r="B771" i="60"/>
  <c r="B770" i="60"/>
  <c r="B769" i="60"/>
  <c r="B768" i="60"/>
  <c r="B767" i="60"/>
  <c r="B766" i="60"/>
  <c r="B765" i="60"/>
  <c r="B764" i="60"/>
  <c r="B763" i="60"/>
  <c r="B762" i="60"/>
  <c r="B761" i="60"/>
  <c r="B760" i="60"/>
  <c r="B759" i="60"/>
  <c r="B758" i="60"/>
  <c r="B757" i="60"/>
  <c r="B756" i="60"/>
  <c r="B755" i="60"/>
  <c r="B754" i="60"/>
  <c r="B753" i="60"/>
  <c r="B752" i="60"/>
  <c r="B751" i="60"/>
  <c r="B750" i="60"/>
  <c r="B749" i="60"/>
  <c r="B748" i="60"/>
  <c r="B747" i="60"/>
  <c r="B746" i="60"/>
  <c r="B745" i="60"/>
  <c r="B744" i="60"/>
  <c r="B743" i="60"/>
  <c r="B742" i="60"/>
  <c r="B741" i="60"/>
  <c r="B740" i="60"/>
  <c r="B739" i="60"/>
  <c r="B738" i="60"/>
  <c r="B737" i="60"/>
  <c r="B736" i="60"/>
  <c r="B735" i="60"/>
  <c r="B734" i="60"/>
  <c r="B733" i="60"/>
  <c r="B732" i="60"/>
  <c r="B731" i="60"/>
  <c r="B730" i="60"/>
  <c r="B729" i="60"/>
  <c r="B728" i="60"/>
  <c r="B727" i="60"/>
  <c r="B726" i="60"/>
  <c r="B725" i="60"/>
  <c r="B724" i="60"/>
  <c r="B723" i="60"/>
  <c r="B722" i="60"/>
  <c r="B721" i="60"/>
  <c r="B720" i="60"/>
  <c r="B719" i="60"/>
  <c r="B718" i="60"/>
  <c r="B717" i="60"/>
  <c r="B716" i="60"/>
  <c r="B715" i="60"/>
  <c r="B714" i="60"/>
  <c r="B713" i="60"/>
  <c r="B712" i="60"/>
  <c r="B711" i="60"/>
  <c r="B710" i="60"/>
  <c r="B709" i="60"/>
  <c r="B708" i="60"/>
  <c r="B707" i="60"/>
  <c r="B706" i="60"/>
  <c r="B705" i="60"/>
  <c r="B704" i="60"/>
  <c r="B703" i="60"/>
  <c r="B702" i="60"/>
  <c r="B701" i="60"/>
  <c r="B700" i="60"/>
  <c r="B699" i="60"/>
  <c r="B698" i="60"/>
  <c r="B697" i="60"/>
  <c r="B696" i="60"/>
  <c r="B695" i="60"/>
  <c r="B694" i="60"/>
  <c r="B693" i="60"/>
  <c r="B692" i="60"/>
  <c r="B691" i="60"/>
  <c r="B690" i="60"/>
  <c r="B689" i="60"/>
  <c r="B688" i="60"/>
  <c r="B687" i="60"/>
  <c r="B686" i="60"/>
  <c r="B685" i="60"/>
  <c r="B684" i="60"/>
  <c r="B683" i="60"/>
  <c r="B682" i="60"/>
  <c r="B681" i="60"/>
  <c r="B680" i="60"/>
  <c r="B679" i="60"/>
  <c r="B678" i="60"/>
  <c r="B677" i="60"/>
  <c r="B676" i="60"/>
  <c r="B675" i="60"/>
  <c r="B674" i="60"/>
  <c r="B673" i="60"/>
  <c r="B672" i="60"/>
  <c r="B671" i="60"/>
  <c r="B670" i="60"/>
  <c r="B669" i="60"/>
  <c r="B668" i="60"/>
  <c r="B667" i="60"/>
  <c r="B666" i="60"/>
  <c r="B665" i="60"/>
  <c r="B664" i="60"/>
  <c r="B663" i="60"/>
  <c r="B662" i="60"/>
  <c r="B661" i="60"/>
  <c r="B660" i="60"/>
  <c r="B659" i="60"/>
  <c r="B658" i="60"/>
  <c r="B657" i="60"/>
  <c r="B656" i="60"/>
  <c r="B655" i="60"/>
  <c r="B654" i="60"/>
  <c r="B653" i="60"/>
  <c r="B652" i="60"/>
  <c r="B651" i="60"/>
  <c r="B650" i="60"/>
  <c r="B649" i="60"/>
  <c r="B648" i="60"/>
  <c r="B647" i="60"/>
  <c r="B646" i="60"/>
  <c r="B645" i="60"/>
  <c r="B644" i="60"/>
  <c r="B643" i="60"/>
  <c r="B642" i="60"/>
  <c r="B641" i="60"/>
  <c r="B640" i="60"/>
  <c r="B639" i="60"/>
  <c r="B638" i="60"/>
  <c r="B637" i="60"/>
  <c r="B636" i="60"/>
  <c r="B635" i="60"/>
  <c r="B634" i="60"/>
  <c r="B633" i="60"/>
  <c r="B632" i="60"/>
  <c r="B631" i="60"/>
  <c r="B630" i="60"/>
  <c r="B629" i="60"/>
  <c r="B628" i="60"/>
  <c r="B627" i="60"/>
  <c r="B626" i="60"/>
  <c r="B625" i="60"/>
  <c r="B624" i="60"/>
  <c r="B623" i="60"/>
  <c r="B622" i="60"/>
  <c r="B621" i="60"/>
  <c r="B620" i="60"/>
  <c r="B619" i="60"/>
  <c r="B618" i="60"/>
  <c r="B617" i="60"/>
  <c r="B616" i="60"/>
  <c r="B615" i="60"/>
  <c r="B614" i="60"/>
  <c r="B613" i="60"/>
  <c r="B612" i="60"/>
  <c r="B611" i="60"/>
  <c r="B610" i="60"/>
  <c r="B609" i="60"/>
  <c r="B608" i="60"/>
  <c r="B607" i="60"/>
  <c r="B606" i="60"/>
  <c r="B605" i="60"/>
  <c r="B604" i="60"/>
  <c r="B603" i="60"/>
  <c r="B602" i="60"/>
  <c r="B601" i="60"/>
  <c r="B600" i="60"/>
  <c r="B599" i="60"/>
  <c r="B598" i="60"/>
  <c r="B597" i="60"/>
  <c r="B596" i="60"/>
  <c r="B595" i="60"/>
  <c r="B594" i="60"/>
  <c r="B593" i="60"/>
  <c r="B592" i="60"/>
  <c r="B591" i="60"/>
  <c r="B590" i="60"/>
  <c r="B589" i="60"/>
  <c r="B588" i="60"/>
  <c r="B587" i="60"/>
  <c r="B586" i="60"/>
  <c r="B585" i="60"/>
  <c r="B584" i="60"/>
  <c r="B583" i="60"/>
  <c r="B582" i="60"/>
  <c r="B581" i="60"/>
  <c r="B580" i="60"/>
  <c r="B579" i="60"/>
  <c r="B578" i="60"/>
  <c r="B577" i="60"/>
  <c r="B576" i="60"/>
  <c r="B575" i="60"/>
  <c r="B574" i="60"/>
  <c r="B573" i="60"/>
  <c r="B572" i="60"/>
  <c r="B571" i="60"/>
  <c r="B570" i="60"/>
  <c r="B569" i="60"/>
  <c r="B568" i="60"/>
  <c r="B567" i="60"/>
  <c r="B566" i="60"/>
  <c r="B565" i="60"/>
  <c r="B564" i="60"/>
  <c r="B563" i="60"/>
  <c r="B562" i="60"/>
  <c r="B561" i="60"/>
  <c r="B560" i="60"/>
  <c r="B559" i="60"/>
  <c r="B558" i="60"/>
  <c r="B557" i="60"/>
  <c r="B556" i="60"/>
  <c r="B555" i="60"/>
  <c r="B554" i="60"/>
  <c r="B553" i="60"/>
  <c r="B552" i="60"/>
  <c r="B551" i="60"/>
  <c r="B550" i="60"/>
  <c r="B549" i="60"/>
  <c r="B548" i="60"/>
  <c r="B547" i="60"/>
  <c r="B546" i="60"/>
  <c r="B545" i="60"/>
  <c r="B544" i="60"/>
  <c r="B543" i="60"/>
  <c r="B542" i="60"/>
  <c r="B541" i="60"/>
  <c r="B540" i="60"/>
  <c r="B539" i="60"/>
  <c r="B538" i="60"/>
  <c r="B537" i="60"/>
  <c r="B536" i="60"/>
  <c r="B535" i="60"/>
  <c r="B534" i="60"/>
  <c r="B533" i="60"/>
  <c r="B532" i="60"/>
  <c r="B531" i="60"/>
  <c r="B530" i="60"/>
  <c r="B529" i="60"/>
  <c r="B528" i="60"/>
  <c r="B527" i="60"/>
  <c r="B526" i="60"/>
  <c r="B525" i="60"/>
  <c r="B524" i="60"/>
  <c r="B523" i="60"/>
  <c r="B522" i="60"/>
  <c r="B521" i="60"/>
  <c r="B520" i="60"/>
  <c r="B519" i="60"/>
  <c r="B518" i="60"/>
  <c r="B517" i="60"/>
  <c r="B516" i="60"/>
  <c r="B515" i="60"/>
  <c r="B514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8" i="60"/>
  <c r="B497" i="60"/>
  <c r="B496" i="60"/>
  <c r="B495" i="60"/>
  <c r="B494" i="60"/>
  <c r="B493" i="60"/>
  <c r="B492" i="60"/>
  <c r="B491" i="60"/>
  <c r="B490" i="60"/>
  <c r="B489" i="60"/>
  <c r="B488" i="60"/>
  <c r="B487" i="60"/>
  <c r="B486" i="60"/>
  <c r="B485" i="60"/>
  <c r="B484" i="60"/>
  <c r="B483" i="60"/>
  <c r="B482" i="60"/>
  <c r="B481" i="60"/>
  <c r="B480" i="60"/>
  <c r="B479" i="60"/>
  <c r="B478" i="60"/>
  <c r="B477" i="60"/>
  <c r="B476" i="60"/>
  <c r="B475" i="60"/>
  <c r="B474" i="60"/>
  <c r="B473" i="60"/>
  <c r="B472" i="60"/>
  <c r="B471" i="60"/>
  <c r="B470" i="60"/>
  <c r="B469" i="60"/>
  <c r="B468" i="60"/>
  <c r="B467" i="60"/>
  <c r="B466" i="60"/>
  <c r="B465" i="60"/>
  <c r="B464" i="60"/>
  <c r="B463" i="60"/>
  <c r="B462" i="60"/>
  <c r="B461" i="60"/>
  <c r="B460" i="60"/>
  <c r="B459" i="60"/>
  <c r="B458" i="60"/>
  <c r="B457" i="60"/>
  <c r="B456" i="60"/>
  <c r="B455" i="60"/>
  <c r="B454" i="60"/>
  <c r="B453" i="60"/>
  <c r="B452" i="60"/>
  <c r="B451" i="60"/>
  <c r="B450" i="60"/>
  <c r="B449" i="60"/>
  <c r="B448" i="60"/>
  <c r="B447" i="60"/>
  <c r="B446" i="60"/>
  <c r="B445" i="60"/>
  <c r="B444" i="60"/>
  <c r="B443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9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1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6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2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7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1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5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9" i="60"/>
  <c r="B308" i="60"/>
  <c r="B307" i="60"/>
  <c r="B306" i="60"/>
  <c r="B305" i="60"/>
  <c r="B304" i="60"/>
  <c r="B303" i="60"/>
  <c r="B302" i="60"/>
  <c r="B301" i="60"/>
  <c r="B300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5" i="60"/>
  <c r="B284" i="60"/>
  <c r="B283" i="60"/>
  <c r="B282" i="60"/>
  <c r="B281" i="60"/>
  <c r="B280" i="60"/>
  <c r="B279" i="60"/>
  <c r="B278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60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2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6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4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5" i="60"/>
  <c r="B4" i="60"/>
  <c r="B3" i="60"/>
  <c r="B2" i="60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F11" i="56"/>
  <c r="B11" i="56"/>
  <c r="B10" i="56"/>
  <c r="F9" i="56"/>
  <c r="B9" i="56"/>
  <c r="B8" i="56"/>
  <c r="F7" i="56"/>
  <c r="B7" i="56"/>
  <c r="B6" i="56"/>
  <c r="F5" i="56"/>
  <c r="B5" i="56"/>
  <c r="B4" i="56"/>
  <c r="F3" i="56"/>
  <c r="B3" i="56"/>
  <c r="B2" i="56"/>
  <c r="H5" i="86" l="1"/>
  <c r="D3" i="88"/>
  <c r="D1" i="88" s="1"/>
  <c r="H3" i="86"/>
  <c r="D3" i="60"/>
  <c r="D1" i="60" s="1"/>
  <c r="F1" i="56"/>
  <c r="G1" i="75"/>
  <c r="D3" i="56"/>
  <c r="D1" i="56" s="1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F2" i="32"/>
  <c r="H5" i="32" s="1"/>
  <c r="D2" i="32"/>
  <c r="H4" i="32" s="1"/>
  <c r="B2" i="32"/>
  <c r="H1" i="86" l="1"/>
  <c r="H3" i="32"/>
  <c r="H1" i="32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F4" i="28"/>
  <c r="D4" i="28"/>
  <c r="B4" i="28"/>
  <c r="F3" i="28"/>
  <c r="D3" i="28"/>
  <c r="B3" i="28"/>
  <c r="F2" i="28"/>
  <c r="D2" i="28"/>
  <c r="H4" i="28" s="1"/>
  <c r="B2" i="28"/>
  <c r="H4" i="29" l="1"/>
  <c r="H5" i="28"/>
  <c r="H3" i="29"/>
  <c r="H1" i="29" s="1"/>
  <c r="H3" i="28"/>
  <c r="H1" i="28" s="1"/>
  <c r="H5" i="29"/>
  <c r="B11" i="7" l="1"/>
  <c r="B9" i="7"/>
  <c r="B7" i="7"/>
  <c r="B5" i="7"/>
  <c r="B3" i="7"/>
  <c r="B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E9741CE4-F894-479A-9BA0-553D777EB622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<sst xmlns="http://schemas.openxmlformats.org/spreadsheetml/2006/main" count="148" uniqueCount="79">
  <si>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</si>
  <si>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</si>
  <si>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</si>
  <si>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【blockly名稱】</t>
  </si>
  <si>
    <t>完整程式碼：</t>
    <phoneticPr fontId="2" type="noConversion"/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</si>
  <si>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</si>
  <si>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</si>
  <si>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</si>
  <si>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</si>
  <si>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</si>
  <si>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</si>
  <si>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</si>
  <si>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</si>
  <si>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</si>
  <si>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</si>
  <si>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</si>
  <si>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</si>
  <si>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</si>
  <si>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</si>
  <si>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</si>
  <si>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</si>
  <si>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</si>
  <si>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 xml:space="preserve"> </t>
    <phoneticPr fontId="2" type="noConversion"/>
  </si>
  <si>
    <t>刪除最後面+號</t>
    <phoneticPr fontId="2" type="noConversion"/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</si>
  <si>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</si>
  <si>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</si>
  <si>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</si>
  <si>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</si>
  <si>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</si>
  <si>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</si>
  <si>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</si>
  <si>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</si>
  <si>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</si>
  <si>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</si>
  <si>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</si>
  <si>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</si>
  <si>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</si>
  <si>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</si>
  <si>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</si>
  <si>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</si>
  <si>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</si>
  <si>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//=====</t>
    </r>
    <r>
      <rPr>
        <sz val="10"/>
        <color theme="1"/>
        <rFont val="新細明體"/>
        <family val="1"/>
        <charset val="136"/>
      </rPr>
      <t>變數設定</t>
    </r>
    <r>
      <rPr>
        <sz val="10"/>
        <color theme="1"/>
        <rFont val="Calibri"/>
        <family val="2"/>
      </rPr>
      <t xml:space="preserve"> End=====</t>
    </r>
  </si>
  <si>
    <t>_01imi_gpscloud_init</t>
  </si>
  <si>
    <t>#include "arduino_secrets.h"</t>
  </si>
  <si>
    <t>#include "thingProperties.h"</t>
  </si>
  <si>
    <r>
      <t>//=====</t>
    </r>
    <r>
      <rPr>
        <sz val="10"/>
        <color theme="1"/>
        <rFont val="新細明體"/>
        <family val="1"/>
        <charset val="136"/>
      </rPr>
      <t>變數設定</t>
    </r>
    <r>
      <rPr>
        <sz val="10"/>
        <color theme="1"/>
        <rFont val="Calibri"/>
        <family val="2"/>
      </rPr>
      <t xml:space="preserve"> Start=====</t>
    </r>
  </si>
  <si>
    <t>double  Lats[4][6]={</t>
  </si>
  <si>
    <t xml:space="preserve">  {22.6364582999265,22.6364582999265,22.6364582999265,22.6364582999265,22.6364582999265,22.6364582999265},</t>
  </si>
  <si>
    <t xml:space="preserve">  {22.6349390408069,22.6349390408069,22.6349390408069,22.6349390408069,22.6349390408069,22.6349390408069},</t>
  </si>
  <si>
    <t xml:space="preserve">  {22.6334197816872,22.6334197816872,22.6334197816872,22.6334197816872,22.6334197816872,22.6334197816872},</t>
  </si>
  <si>
    <t xml:space="preserve">  {22.6319005225676,22.6319005225676,22.6319005225676,22.6319005225676,22.6319005225676,22.6319005225676}</t>
  </si>
  <si>
    <t>};</t>
  </si>
  <si>
    <t>double  Longs[4][6]={</t>
  </si>
  <si>
    <t xml:space="preserve">  {120.30257035839 , 120.304121598992, 120.305672839593 , 120.307224080195 , 120.308775320796 , 120.310326561398},</t>
  </si>
  <si>
    <t xml:space="preserve">  {120.30257035839 , 120.304121598992, 120.305672839593 , 120.307224080195 , 120.308775320796 , 120.310326561398}</t>
  </si>
  <si>
    <t>int carX = 0;</t>
  </si>
  <si>
    <t>int carY = 0;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</si>
  <si>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//UART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</si>
  <si>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#define U1RXD </t>
    </r>
    <r>
      <rPr>
        <sz val="12"/>
        <color rgb="FF538135"/>
        <rFont val="Calibri"/>
        <family val="2"/>
      </rPr>
      <t>'</t>
    </r>
    <r>
      <rPr>
        <sz val="9"/>
        <color rgb="FF4472C4"/>
        <rFont val="Calibri"/>
        <family val="2"/>
      </rPr>
      <t>+</t>
    </r>
    <r>
      <rPr>
        <sz val="9"/>
        <color rgb="FFFF0000"/>
        <rFont val="Calibri"/>
        <family val="2"/>
      </rPr>
      <t>value_rx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</si>
  <si>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#define U1TXD </t>
    </r>
    <r>
      <rPr>
        <sz val="12"/>
        <color rgb="FF538135"/>
        <rFont val="Calibri"/>
        <family val="2"/>
      </rPr>
      <t>'</t>
    </r>
    <r>
      <rPr>
        <sz val="9"/>
        <color rgb="FF4472C4"/>
        <rFont val="Calibri"/>
        <family val="2"/>
      </rPr>
      <t>+</t>
    </r>
    <r>
      <rPr>
        <sz val="9"/>
        <color rgb="FFFF0000"/>
        <rFont val="Calibri"/>
        <family val="2"/>
      </rPr>
      <t>value_tx</t>
    </r>
  </si>
  <si>
    <t>_03imi_gpscloud_setup</t>
  </si>
  <si>
    <t xml:space="preserve">  Serial.begin(115200);</t>
  </si>
  <si>
    <t xml:space="preserve">  Serial2.begin(9600, SERIAL_8N1, U1RXD, U1TXD);</t>
  </si>
  <si>
    <t xml:space="preserve">  delay(1500); </t>
  </si>
  <si>
    <t xml:space="preserve">  // Defined in thingProperties.h</t>
  </si>
  <si>
    <t xml:space="preserve">  initProperties();</t>
  </si>
  <si>
    <t xml:space="preserve">  // Connect to Arduino IoT Cloud</t>
  </si>
  <si>
    <t xml:space="preserve">  ArduinoCloud.begin(ArduinoIoTPreferredConnection);  </t>
  </si>
  <si>
    <t xml:space="preserve">  </t>
  </si>
  <si>
    <t xml:space="preserve">  setDebugMessageLevel(2);</t>
  </si>
  <si>
    <t xml:space="preserve">  ArduinoCloud.printDebugInfo();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</si>
  <si>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ArduinoCloud.update();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</si>
  <si>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String str = Serial2.readString();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</si>
  <si>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 if(str !=""){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</si>
  <si>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   carX = (int)(str.charAt(0) - \'0\');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</si>
  <si>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   carY = (int)(str.charAt(1) - \'0\');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</si>
  <si>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   Serial.println(carX);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</si>
  <si>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   Serial.println(carY);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</si>
  <si>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coordinates = {Lats[carX][carY], Longs[carX][carY]};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</si>
</sst>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7"/>
      <color theme="1"/>
      <name val="Calibri"/>
      <family val="2"/>
    </font>
    <font>
      <sz val="9"/>
      <color rgb="FF4472C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14" fillId="3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16" fillId="0" borderId="0" xfId="0" applyFont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0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22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23" fillId="3" borderId="1" xfId="0" applyFont="1" applyFill="1" applyBorder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20" sqref="B20"/>
    </sheetView>
  </sheetViews>
  <sheetFormatPr defaultRowHeight="16.5" x14ac:dyDescent="0.25"/>
  <cols>
    <col min="1" max="1" width="32.875" customWidth="1"/>
    <col min="2" max="2" width="26.25" customWidth="1"/>
  </cols>
  <sheetData>
    <row r="1" spans="1:4" x14ac:dyDescent="0.25">
      <c r="A1" t="s">
        <v>8</v>
      </c>
      <c r="B1" s="6" t="e">
        <f>"Blockly.Arduino.setups_['"&amp;#REF!&amp;"'] = "&amp;
'S(變)'!B3 &amp; 'S(變)'!B5
&amp;";"</f>
        <v>#REF!</v>
      </c>
    </row>
    <row r="2" spans="1:4" x14ac:dyDescent="0.25">
      <c r="A2" s="14" t="s">
        <v>6</v>
      </c>
      <c r="B2" s="10" t="s">
        <v>9</v>
      </c>
      <c r="C2" t="s">
        <v>5</v>
      </c>
      <c r="D2" t="s">
        <v>10</v>
      </c>
    </row>
    <row r="3" spans="1:4" x14ac:dyDescent="0.25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 x14ac:dyDescent="0.25">
      <c r="A4" s="15"/>
      <c r="B4" s="12"/>
    </row>
    <row r="5" spans="1:4" x14ac:dyDescent="0.25">
      <c r="A5" s="8"/>
      <c r="B5" s="11" t="str">
        <f>B4&amp;"+"&amp;C4&amp;"+"&amp;D4&amp;"+"&amp;E4&amp;"+"&amp;F4&amp;"+"&amp;G4&amp;"+"&amp;H4&amp;"+"&amp;I4</f>
        <v>+++++++</v>
      </c>
    </row>
    <row r="6" spans="1:4" x14ac:dyDescent="0.25">
      <c r="A6" s="9"/>
      <c r="B6" s="8"/>
    </row>
    <row r="7" spans="1:4" x14ac:dyDescent="0.25">
      <c r="A7" s="8"/>
      <c r="B7" s="11" t="str">
        <f>B6&amp;"+"&amp;C6&amp;"+"&amp;D6&amp;"+"&amp;E6&amp;"+"&amp;F6&amp;"+"&amp;G6&amp;"+"&amp;H6&amp;"+"&amp;I6</f>
        <v>+++++++</v>
      </c>
    </row>
    <row r="8" spans="1:4" x14ac:dyDescent="0.25">
      <c r="A8" s="9"/>
      <c r="B8" s="8"/>
    </row>
    <row r="9" spans="1:4" x14ac:dyDescent="0.25">
      <c r="A9" s="8"/>
      <c r="B9" s="11" t="str">
        <f>B8&amp;"+"&amp;C8&amp;"+"&amp;D8&amp;"+"&amp;E8&amp;"+"&amp;F8&amp;"+"&amp;G8&amp;"+"&amp;H8&amp;"+"&amp;I8</f>
        <v>+++++++</v>
      </c>
    </row>
    <row r="10" spans="1:4" x14ac:dyDescent="0.25">
      <c r="A10" s="9"/>
      <c r="B10" s="8"/>
    </row>
    <row r="11" spans="1:4" x14ac:dyDescent="0.25">
      <c r="A11" s="8"/>
      <c r="B11" s="11" t="str">
        <f>B10&amp;"+"&amp;C10&amp;"+"&amp;D10&amp;"+"&amp;E10&amp;"+"&amp;F10&amp;"+"&amp;G10&amp;"+"&amp;H10&amp;"+"&amp;I10</f>
        <v>+++++++</v>
      </c>
    </row>
    <row r="12" spans="1:4" x14ac:dyDescent="0.25">
      <c r="A12" s="8"/>
      <c r="B12" s="8"/>
    </row>
    <row r="13" spans="1:4" x14ac:dyDescent="0.25">
      <c r="A13" s="8"/>
      <c r="B13" s="8"/>
    </row>
    <row r="14" spans="1:4" x14ac:dyDescent="0.25">
      <c r="A14" s="8"/>
      <c r="B14" s="8"/>
    </row>
    <row r="15" spans="1:4" x14ac:dyDescent="0.25">
      <c r="A15" s="8"/>
      <c r="B15" s="8"/>
    </row>
    <row r="16" spans="1:4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  <row r="20" spans="1:2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zoomScale="85" zoomScaleNormal="85" workbookViewId="0">
      <selection activeCell="C8" sqref="C8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7</v>
      </c>
      <c r="C1" t="s">
        <v>4</v>
      </c>
      <c r="D1" s="7" t="str">
        <f>"Blockly.Arduino.setups_['"&amp;D2&amp;"'] = '"&amp;D3&amp;"';"</f>
        <v>Blockly.Arduino.setups_[''] = '';</v>
      </c>
      <c r="E1" t="s">
        <v>0</v>
      </c>
      <c r="F1" s="6" t="e">
        <f>"Blockly.Arduino.setups_['"
&amp;#REF! &amp;"' + "
&amp;#REF! &amp;" + "
&amp;#REF! &amp;
"] = "&amp;
S!F3 &amp; S!F5
&amp;";"</f>
        <v>#REF!</v>
      </c>
    </row>
    <row r="2" spans="1:6" x14ac:dyDescent="0.25">
      <c r="A2" s="30"/>
      <c r="B2" s="18" t="str">
        <f>IF(NOT(ISBLANK(A2)),A2&amp;"\n","")</f>
        <v/>
      </c>
      <c r="C2" s="32" t="s">
        <v>3</v>
      </c>
      <c r="D2" s="31"/>
      <c r="E2" s="13"/>
      <c r="F2" s="10"/>
    </row>
    <row r="3" spans="1:6" x14ac:dyDescent="0.25">
      <c r="A3" s="30"/>
      <c r="B3" s="18" t="str">
        <f t="shared" ref="B3:B66" si="0">IF(NOT(ISBLANK(A3)),A3&amp;"\n","")</f>
        <v/>
      </c>
      <c r="C3" s="5" t="s">
        <v>16</v>
      </c>
      <c r="D3" s="5" t="str">
        <f>_xlfn.CONCAT(B2:B999)</f>
        <v/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30"/>
      <c r="B4" s="18" t="str">
        <f t="shared" si="0"/>
        <v/>
      </c>
      <c r="E4" s="1"/>
      <c r="F4" s="12"/>
    </row>
    <row r="5" spans="1:6" x14ac:dyDescent="0.25">
      <c r="A5" s="30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30"/>
      <c r="B6" s="18" t="str">
        <f t="shared" si="0"/>
        <v/>
      </c>
      <c r="E6" s="9"/>
      <c r="F6" s="8"/>
    </row>
    <row r="7" spans="1:6" x14ac:dyDescent="0.25">
      <c r="A7" s="30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30"/>
      <c r="B8" s="18" t="str">
        <f t="shared" si="0"/>
        <v/>
      </c>
      <c r="E8" s="9"/>
      <c r="F8" s="8"/>
    </row>
    <row r="9" spans="1:6" x14ac:dyDescent="0.25">
      <c r="A9" s="30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30"/>
      <c r="B10" s="18" t="str">
        <f t="shared" si="0"/>
        <v/>
      </c>
      <c r="E10" s="9"/>
      <c r="F10" s="8"/>
    </row>
    <row r="11" spans="1:6" x14ac:dyDescent="0.25">
      <c r="A11" s="30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30"/>
      <c r="B12" s="18" t="str">
        <f t="shared" si="0"/>
        <v/>
      </c>
      <c r="E12" s="8"/>
      <c r="F12" s="8"/>
    </row>
    <row r="13" spans="1:6" x14ac:dyDescent="0.25">
      <c r="A13" s="30"/>
      <c r="B13" s="18" t="str">
        <f t="shared" si="0"/>
        <v/>
      </c>
      <c r="E13" s="8"/>
      <c r="F13" s="8"/>
    </row>
    <row r="14" spans="1:6" x14ac:dyDescent="0.25">
      <c r="A14" s="30"/>
      <c r="B14" s="18" t="str">
        <f t="shared" si="0"/>
        <v/>
      </c>
      <c r="E14" s="8"/>
      <c r="F14" s="8"/>
    </row>
    <row r="15" spans="1:6" x14ac:dyDescent="0.25">
      <c r="A15" s="30"/>
      <c r="B15" s="18" t="str">
        <f t="shared" si="0"/>
        <v/>
      </c>
      <c r="E15" s="8"/>
      <c r="F15" s="8"/>
    </row>
    <row r="16" spans="1:6" x14ac:dyDescent="0.25">
      <c r="A16" s="30"/>
      <c r="B16" s="18" t="str">
        <f t="shared" si="0"/>
        <v/>
      </c>
      <c r="E16" s="8"/>
      <c r="F16" s="8"/>
    </row>
    <row r="17" spans="1:6" x14ac:dyDescent="0.25">
      <c r="A17" s="30"/>
      <c r="B17" s="18" t="str">
        <f t="shared" si="0"/>
        <v/>
      </c>
      <c r="E17" s="8"/>
      <c r="F17" s="8"/>
    </row>
    <row r="18" spans="1:6" x14ac:dyDescent="0.25">
      <c r="A18" s="30"/>
      <c r="B18" s="18" t="str">
        <f t="shared" si="0"/>
        <v/>
      </c>
      <c r="E18" s="8"/>
      <c r="F18" s="8"/>
    </row>
    <row r="19" spans="1:6" x14ac:dyDescent="0.25">
      <c r="A19" s="30"/>
      <c r="B19" s="18" t="str">
        <f t="shared" si="0"/>
        <v/>
      </c>
      <c r="E19" s="8"/>
      <c r="F19" s="8"/>
    </row>
    <row r="20" spans="1:6" x14ac:dyDescent="0.25">
      <c r="A20" s="30"/>
      <c r="B20" s="18" t="str">
        <f t="shared" si="0"/>
        <v/>
      </c>
      <c r="E20" s="8"/>
      <c r="F20" s="8"/>
    </row>
    <row r="21" spans="1:6" x14ac:dyDescent="0.25">
      <c r="A21" s="30"/>
      <c r="B21" s="18" t="str">
        <f t="shared" si="0"/>
        <v/>
      </c>
      <c r="E21" s="8"/>
      <c r="F21" s="8"/>
    </row>
    <row r="22" spans="1:6" x14ac:dyDescent="0.25">
      <c r="A22" s="30"/>
      <c r="B22" s="18" t="str">
        <f t="shared" si="0"/>
        <v/>
      </c>
      <c r="E22" s="8"/>
    </row>
    <row r="23" spans="1:6" x14ac:dyDescent="0.25">
      <c r="A23" s="30"/>
      <c r="B23" s="18" t="str">
        <f t="shared" si="0"/>
        <v/>
      </c>
    </row>
    <row r="24" spans="1:6" x14ac:dyDescent="0.25">
      <c r="A24" s="30"/>
      <c r="B24" s="18" t="str">
        <f t="shared" si="0"/>
        <v/>
      </c>
    </row>
    <row r="25" spans="1:6" x14ac:dyDescent="0.25">
      <c r="A25" s="30"/>
      <c r="B25" s="18" t="str">
        <f t="shared" si="0"/>
        <v/>
      </c>
    </row>
    <row r="26" spans="1:6" x14ac:dyDescent="0.25">
      <c r="A26" s="30"/>
      <c r="B26" s="18" t="str">
        <f t="shared" si="0"/>
        <v/>
      </c>
    </row>
    <row r="27" spans="1:6" x14ac:dyDescent="0.25">
      <c r="A27" s="30"/>
      <c r="B27" s="18" t="str">
        <f t="shared" si="0"/>
        <v/>
      </c>
    </row>
    <row r="28" spans="1:6" x14ac:dyDescent="0.25">
      <c r="A28" s="30"/>
      <c r="B28" s="18" t="str">
        <f t="shared" si="0"/>
        <v/>
      </c>
    </row>
    <row r="29" spans="1:6" x14ac:dyDescent="0.25">
      <c r="A29" s="30"/>
      <c r="B29" s="18" t="str">
        <f t="shared" si="0"/>
        <v/>
      </c>
    </row>
    <row r="30" spans="1:6" x14ac:dyDescent="0.25">
      <c r="A30" s="30"/>
      <c r="B30" s="18" t="str">
        <f t="shared" si="0"/>
        <v/>
      </c>
    </row>
    <row r="31" spans="1:6" x14ac:dyDescent="0.25">
      <c r="A31" s="30"/>
      <c r="B31" s="18" t="str">
        <f t="shared" si="0"/>
        <v/>
      </c>
    </row>
    <row r="32" spans="1:6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zoomScale="85" zoomScaleNormal="85" workbookViewId="0">
      <selection activeCell="G7" sqref="G7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s="2" t="s">
        <v>24</v>
      </c>
      <c r="C1" s="3" t="s">
        <v>13</v>
      </c>
      <c r="E1" s="3" t="s">
        <v>25</v>
      </c>
      <c r="G1" t="s">
        <v>4</v>
      </c>
      <c r="H1" s="7" t="str">
        <f>"Blockly.Arduino.definitions_['"&amp;H2&amp;"'] = '"&amp;H3&amp;"' + "&amp;H4&amp;" + '"&amp;H5&amp;"';"</f>
        <v>Blockly.Arduino.definitions_[''] = '' + statements_uart+statements_track+statements_trig+statements_carbox+statements_aicam+statements_sign+statements_l298n+statements_l298n2 + '';</v>
      </c>
    </row>
    <row r="2" spans="1:12" x14ac:dyDescent="0.25">
      <c r="A2" s="16"/>
      <c r="B2" s="18" t="str">
        <f>IF(NOT(ISBLANK(A2)),A2&amp;"\n ","")</f>
        <v/>
      </c>
      <c r="C2" s="21" t="s">
        <v>26</v>
      </c>
      <c r="D2" s="18" t="str">
        <f>IF(NOT(ISBLANK(C2)),C2,"")</f>
        <v>statements_uart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25">
      <c r="A3" s="16"/>
      <c r="B3" s="18" t="str">
        <f t="shared" ref="B3:B66" si="0">IF(NOT(ISBLANK(A3)),A3&amp;"\n ","")</f>
        <v/>
      </c>
      <c r="C3" s="21" t="s">
        <v>27</v>
      </c>
      <c r="D3" s="18" t="str">
        <f t="shared" ref="D3:D66" si="1">IF(NOT(ISBLANK(C3)),C3,"")</f>
        <v>statements_track</v>
      </c>
      <c r="E3" s="16"/>
      <c r="F3" s="18" t="str">
        <f t="shared" ref="F3:F66" si="2">IF(NOT(ISBLANK(E3)),E3&amp;"\n ","")</f>
        <v/>
      </c>
      <c r="G3" s="5" t="s">
        <v>17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1" t="s">
        <v>28</v>
      </c>
      <c r="D4" s="18" t="str">
        <f t="shared" si="1"/>
        <v>statements_trig</v>
      </c>
      <c r="E4" s="20"/>
      <c r="F4" s="18" t="str">
        <f t="shared" si="2"/>
        <v/>
      </c>
      <c r="G4" s="5" t="s">
        <v>18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 x14ac:dyDescent="0.25">
      <c r="A5" s="16"/>
      <c r="B5" s="18" t="str">
        <f t="shared" si="0"/>
        <v/>
      </c>
      <c r="C5" s="21" t="s">
        <v>29</v>
      </c>
      <c r="D5" s="18" t="str">
        <f t="shared" si="1"/>
        <v>statements_carbox</v>
      </c>
      <c r="E5" s="20"/>
      <c r="F5" s="18" t="str">
        <f t="shared" si="2"/>
        <v/>
      </c>
      <c r="G5" s="5" t="s">
        <v>19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1" t="s">
        <v>30</v>
      </c>
      <c r="D6" s="18" t="str">
        <f t="shared" si="1"/>
        <v>statements_aicam</v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1" t="s">
        <v>31</v>
      </c>
      <c r="D7" s="18" t="str">
        <f t="shared" si="1"/>
        <v>statements_sign</v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1" t="s">
        <v>32</v>
      </c>
      <c r="D8" s="18" t="str">
        <f t="shared" si="1"/>
        <v>statements_l298n</v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1" t="s">
        <v>33</v>
      </c>
      <c r="D9" s="18" t="str">
        <f t="shared" si="1"/>
        <v>statements_l298n2</v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1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1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1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1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1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1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8"/>
  <sheetViews>
    <sheetView zoomScale="85" zoomScaleNormal="85" workbookViewId="0">
      <selection activeCell="E9" sqref="E9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11</v>
      </c>
      <c r="C1" s="3" t="s">
        <v>13</v>
      </c>
      <c r="E1" s="3" t="s">
        <v>12</v>
      </c>
      <c r="G1" t="s">
        <v>4</v>
      </c>
      <c r="H1" s="7" t="str">
        <f>"Blockly.Arduino.functions_['"&amp;H2&amp;"'] = '"&amp;H3&amp;"' + "&amp;H4&amp;" + '"&amp;H5&amp;"';"</f>
        <v>Blockly.Arduino.functions_[''] = '' + statements_msg + '';</v>
      </c>
    </row>
    <row r="2" spans="1:12" x14ac:dyDescent="0.25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17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18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19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zoomScale="85" zoomScaleNormal="85" workbookViewId="0">
      <selection activeCell="D19" sqref="D19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Blockly.Arduino.functions_[''] = '';</v>
      </c>
      <c r="E1" t="s">
        <v>2</v>
      </c>
    </row>
    <row r="2" spans="1:5" x14ac:dyDescent="0.25">
      <c r="A2" s="30"/>
      <c r="B2" s="18" t="str">
        <f>IF(NOT(ISBLANK(A2)),A2&amp;"\n","")</f>
        <v/>
      </c>
      <c r="C2" s="4" t="s">
        <v>3</v>
      </c>
      <c r="D2" s="31"/>
    </row>
    <row r="3" spans="1:5" x14ac:dyDescent="0.25">
      <c r="A3" s="30"/>
      <c r="B3" s="18" t="str">
        <f t="shared" ref="B3:B66" si="0">IF(NOT(ISBLANK(A3)),A3&amp;"\n","")</f>
        <v/>
      </c>
      <c r="C3" s="5" t="s">
        <v>15</v>
      </c>
      <c r="D3" s="5" t="str">
        <f>_xlfn.CONCAT(B2:B999)</f>
        <v/>
      </c>
    </row>
    <row r="4" spans="1:5" x14ac:dyDescent="0.25">
      <c r="A4" s="30"/>
      <c r="B4" s="18" t="str">
        <f t="shared" si="0"/>
        <v/>
      </c>
    </row>
    <row r="5" spans="1:5" x14ac:dyDescent="0.25">
      <c r="A5" s="30"/>
      <c r="B5" s="18" t="str">
        <f t="shared" si="0"/>
        <v/>
      </c>
    </row>
    <row r="6" spans="1:5" x14ac:dyDescent="0.25">
      <c r="A6" s="30"/>
      <c r="B6" s="18" t="str">
        <f t="shared" si="0"/>
        <v/>
      </c>
    </row>
    <row r="7" spans="1:5" x14ac:dyDescent="0.25">
      <c r="A7" s="30"/>
      <c r="B7" s="18" t="str">
        <f t="shared" si="0"/>
        <v/>
      </c>
    </row>
    <row r="8" spans="1:5" x14ac:dyDescent="0.25">
      <c r="A8" s="30"/>
      <c r="B8" s="18" t="str">
        <f t="shared" si="0"/>
        <v/>
      </c>
    </row>
    <row r="9" spans="1:5" x14ac:dyDescent="0.25">
      <c r="A9" s="30"/>
      <c r="B9" s="18" t="str">
        <f t="shared" si="0"/>
        <v/>
      </c>
    </row>
    <row r="10" spans="1:5" x14ac:dyDescent="0.25">
      <c r="A10" s="30"/>
      <c r="B10" s="18" t="str">
        <f t="shared" si="0"/>
        <v/>
      </c>
    </row>
    <row r="11" spans="1:5" x14ac:dyDescent="0.25">
      <c r="A11" s="30"/>
      <c r="B11" s="18" t="str">
        <f t="shared" si="0"/>
        <v/>
      </c>
    </row>
    <row r="12" spans="1:5" x14ac:dyDescent="0.25">
      <c r="A12" s="30"/>
      <c r="B12" s="18" t="str">
        <f t="shared" si="0"/>
        <v/>
      </c>
    </row>
    <row r="13" spans="1:5" x14ac:dyDescent="0.25">
      <c r="A13" s="30"/>
      <c r="B13" s="18" t="str">
        <f t="shared" si="0"/>
        <v/>
      </c>
    </row>
    <row r="14" spans="1:5" x14ac:dyDescent="0.25">
      <c r="A14" s="30"/>
      <c r="B14" s="18" t="str">
        <f t="shared" si="0"/>
        <v/>
      </c>
    </row>
    <row r="15" spans="1:5" x14ac:dyDescent="0.25">
      <c r="A15" s="30"/>
      <c r="B15" s="18" t="str">
        <f t="shared" si="0"/>
        <v/>
      </c>
    </row>
    <row r="16" spans="1:5" x14ac:dyDescent="0.25">
      <c r="A16" s="30"/>
      <c r="B16" s="18" t="str">
        <f t="shared" si="0"/>
        <v/>
      </c>
    </row>
    <row r="17" spans="1:2" x14ac:dyDescent="0.25">
      <c r="A17" s="30"/>
      <c r="B17" s="18" t="str">
        <f t="shared" si="0"/>
        <v/>
      </c>
    </row>
    <row r="18" spans="1:2" x14ac:dyDescent="0.25">
      <c r="A18" s="30"/>
      <c r="B18" s="18" t="str">
        <f t="shared" si="0"/>
        <v/>
      </c>
    </row>
    <row r="19" spans="1:2" x14ac:dyDescent="0.25">
      <c r="A19" s="30"/>
      <c r="B19" s="18" t="str">
        <f t="shared" si="0"/>
        <v/>
      </c>
    </row>
    <row r="20" spans="1:2" x14ac:dyDescent="0.25">
      <c r="A20" s="30"/>
      <c r="B20" s="18" t="str">
        <f t="shared" si="0"/>
        <v/>
      </c>
    </row>
    <row r="21" spans="1:2" x14ac:dyDescent="0.25">
      <c r="A21" s="30"/>
      <c r="B21" s="18" t="str">
        <f t="shared" si="0"/>
        <v/>
      </c>
    </row>
    <row r="22" spans="1:2" x14ac:dyDescent="0.25">
      <c r="A22" s="30"/>
      <c r="B22" s="18" t="str">
        <f t="shared" si="0"/>
        <v/>
      </c>
    </row>
    <row r="23" spans="1:2" x14ac:dyDescent="0.25">
      <c r="A23" s="30"/>
      <c r="B23" s="18" t="str">
        <f t="shared" si="0"/>
        <v/>
      </c>
    </row>
    <row r="24" spans="1:2" x14ac:dyDescent="0.25">
      <c r="A24" s="30"/>
      <c r="B24" s="18" t="str">
        <f t="shared" si="0"/>
        <v/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30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0"/>
      <c r="B69" s="18" t="str">
        <f t="shared" si="1"/>
        <v/>
      </c>
    </row>
    <row r="70" spans="1:2" x14ac:dyDescent="0.25">
      <c r="A70" s="30"/>
      <c r="B70" s="18" t="str">
        <f t="shared" si="1"/>
        <v/>
      </c>
    </row>
    <row r="71" spans="1:2" x14ac:dyDescent="0.25">
      <c r="A71" s="30"/>
      <c r="B71" s="18" t="str">
        <f t="shared" si="1"/>
        <v/>
      </c>
    </row>
    <row r="72" spans="1:2" x14ac:dyDescent="0.25">
      <c r="A72" s="30"/>
      <c r="B72" s="18" t="str">
        <f t="shared" si="1"/>
        <v/>
      </c>
    </row>
    <row r="73" spans="1:2" x14ac:dyDescent="0.25">
      <c r="A73" s="30"/>
      <c r="B73" s="18" t="str">
        <f t="shared" si="1"/>
        <v/>
      </c>
    </row>
    <row r="74" spans="1:2" x14ac:dyDescent="0.25">
      <c r="A74" s="30"/>
      <c r="B74" s="18" t="str">
        <f t="shared" si="1"/>
        <v/>
      </c>
    </row>
    <row r="75" spans="1:2" x14ac:dyDescent="0.25">
      <c r="A75" s="30"/>
      <c r="B75" s="18" t="str">
        <f t="shared" si="1"/>
        <v/>
      </c>
    </row>
    <row r="76" spans="1:2" x14ac:dyDescent="0.25">
      <c r="A76" s="30"/>
      <c r="B76" s="18" t="str">
        <f t="shared" si="1"/>
        <v/>
      </c>
    </row>
    <row r="77" spans="1:2" x14ac:dyDescent="0.25">
      <c r="A77" s="30"/>
      <c r="B77" s="18" t="str">
        <f t="shared" si="1"/>
        <v/>
      </c>
    </row>
    <row r="78" spans="1:2" x14ac:dyDescent="0.25">
      <c r="A78" s="30"/>
      <c r="B78" s="18" t="str">
        <f t="shared" si="1"/>
        <v/>
      </c>
    </row>
    <row r="79" spans="1:2" x14ac:dyDescent="0.25">
      <c r="A79" s="30"/>
      <c r="B79" s="18" t="str">
        <f t="shared" si="1"/>
        <v/>
      </c>
    </row>
    <row r="80" spans="1:2" x14ac:dyDescent="0.25">
      <c r="A80" s="30"/>
      <c r="B80" s="18" t="str">
        <f t="shared" si="1"/>
        <v/>
      </c>
    </row>
    <row r="81" spans="1:2" x14ac:dyDescent="0.25">
      <c r="A81" s="30"/>
      <c r="B81" s="18" t="str">
        <f t="shared" si="1"/>
        <v/>
      </c>
    </row>
    <row r="82" spans="1:2" x14ac:dyDescent="0.25">
      <c r="A82" s="30"/>
      <c r="B82" s="18" t="str">
        <f t="shared" si="1"/>
        <v/>
      </c>
    </row>
    <row r="83" spans="1:2" x14ac:dyDescent="0.25">
      <c r="A83" s="30"/>
      <c r="B83" s="18" t="str">
        <f t="shared" si="1"/>
        <v/>
      </c>
    </row>
    <row r="84" spans="1:2" x14ac:dyDescent="0.25">
      <c r="A84" s="30"/>
      <c r="B84" s="18" t="str">
        <f t="shared" si="1"/>
        <v/>
      </c>
    </row>
    <row r="85" spans="1:2" x14ac:dyDescent="0.25">
      <c r="A85" s="30"/>
      <c r="B85" s="18" t="str">
        <f t="shared" si="1"/>
        <v/>
      </c>
    </row>
    <row r="86" spans="1:2" x14ac:dyDescent="0.25">
      <c r="A86" s="30"/>
      <c r="B86" s="18" t="str">
        <f t="shared" si="1"/>
        <v/>
      </c>
    </row>
    <row r="87" spans="1:2" x14ac:dyDescent="0.25">
      <c r="A87" s="30"/>
      <c r="B87" s="18" t="str">
        <f t="shared" si="1"/>
        <v/>
      </c>
    </row>
    <row r="88" spans="1:2" x14ac:dyDescent="0.25">
      <c r="A88" s="30"/>
      <c r="B88" s="18" t="str">
        <f t="shared" si="1"/>
        <v/>
      </c>
    </row>
    <row r="89" spans="1:2" x14ac:dyDescent="0.25">
      <c r="A89" s="30"/>
      <c r="B89" s="18" t="str">
        <f t="shared" si="1"/>
        <v/>
      </c>
    </row>
    <row r="90" spans="1:2" x14ac:dyDescent="0.25">
      <c r="A90" s="30"/>
      <c r="B90" s="18" t="str">
        <f t="shared" si="1"/>
        <v/>
      </c>
    </row>
    <row r="91" spans="1:2" x14ac:dyDescent="0.25">
      <c r="A91" s="30"/>
      <c r="B91" s="18" t="str">
        <f t="shared" si="1"/>
        <v/>
      </c>
    </row>
    <row r="92" spans="1:2" x14ac:dyDescent="0.25">
      <c r="A92" s="30"/>
      <c r="B92" s="18" t="str">
        <f t="shared" si="1"/>
        <v/>
      </c>
    </row>
    <row r="93" spans="1:2" x14ac:dyDescent="0.25">
      <c r="A93" s="30"/>
      <c r="B93" s="18" t="str">
        <f t="shared" si="1"/>
        <v/>
      </c>
    </row>
    <row r="94" spans="1:2" x14ac:dyDescent="0.25">
      <c r="A94" s="30"/>
      <c r="B94" s="18" t="str">
        <f t="shared" si="1"/>
        <v/>
      </c>
    </row>
    <row r="95" spans="1:2" x14ac:dyDescent="0.25">
      <c r="A95" s="30"/>
      <c r="B95" s="18" t="str">
        <f t="shared" si="1"/>
        <v/>
      </c>
    </row>
    <row r="96" spans="1:2" x14ac:dyDescent="0.25">
      <c r="A96" s="30"/>
      <c r="B96" s="18" t="str">
        <f t="shared" si="1"/>
        <v/>
      </c>
    </row>
    <row r="97" spans="1:2" x14ac:dyDescent="0.25">
      <c r="A97" s="30"/>
      <c r="B97" s="18" t="str">
        <f t="shared" si="1"/>
        <v/>
      </c>
    </row>
    <row r="98" spans="1:2" x14ac:dyDescent="0.25">
      <c r="A98" s="30"/>
      <c r="B98" s="18" t="str">
        <f t="shared" si="1"/>
        <v/>
      </c>
    </row>
    <row r="99" spans="1:2" x14ac:dyDescent="0.25">
      <c r="A99" s="30"/>
      <c r="B99" s="18" t="str">
        <f t="shared" si="1"/>
        <v/>
      </c>
    </row>
    <row r="100" spans="1:2" x14ac:dyDescent="0.25">
      <c r="A100" s="30"/>
      <c r="B100" s="18" t="str">
        <f t="shared" si="1"/>
        <v/>
      </c>
    </row>
    <row r="101" spans="1:2" x14ac:dyDescent="0.25">
      <c r="A101" s="30"/>
      <c r="B101" s="18" t="str">
        <f t="shared" si="1"/>
        <v/>
      </c>
    </row>
    <row r="102" spans="1:2" x14ac:dyDescent="0.25">
      <c r="A102" s="30"/>
      <c r="B102" s="18" t="str">
        <f t="shared" si="1"/>
        <v/>
      </c>
    </row>
    <row r="103" spans="1:2" x14ac:dyDescent="0.25">
      <c r="A103" s="30"/>
      <c r="B103" s="18" t="str">
        <f t="shared" si="1"/>
        <v/>
      </c>
    </row>
    <row r="104" spans="1:2" x14ac:dyDescent="0.25">
      <c r="A104" s="30"/>
      <c r="B104" s="18" t="str">
        <f t="shared" si="1"/>
        <v/>
      </c>
    </row>
    <row r="105" spans="1:2" x14ac:dyDescent="0.25">
      <c r="A105" s="30"/>
      <c r="B105" s="18" t="str">
        <f t="shared" si="1"/>
        <v/>
      </c>
    </row>
    <row r="106" spans="1:2" x14ac:dyDescent="0.25">
      <c r="A106" s="30"/>
      <c r="B106" s="18" t="str">
        <f t="shared" si="1"/>
        <v/>
      </c>
    </row>
    <row r="107" spans="1:2" x14ac:dyDescent="0.25">
      <c r="A107" s="30"/>
      <c r="B107" s="18" t="str">
        <f t="shared" si="1"/>
        <v/>
      </c>
    </row>
    <row r="108" spans="1:2" x14ac:dyDescent="0.25">
      <c r="A108" s="30"/>
      <c r="B108" s="18" t="str">
        <f t="shared" si="1"/>
        <v/>
      </c>
    </row>
    <row r="109" spans="1:2" x14ac:dyDescent="0.25">
      <c r="A109" s="30"/>
      <c r="B109" s="18" t="str">
        <f t="shared" si="1"/>
        <v/>
      </c>
    </row>
    <row r="110" spans="1:2" x14ac:dyDescent="0.25">
      <c r="A110" s="30"/>
      <c r="B110" s="18" t="str">
        <f t="shared" si="1"/>
        <v/>
      </c>
    </row>
    <row r="111" spans="1:2" x14ac:dyDescent="0.25">
      <c r="A111" s="30"/>
      <c r="B111" s="18" t="str">
        <f t="shared" si="1"/>
        <v/>
      </c>
    </row>
    <row r="112" spans="1:2" x14ac:dyDescent="0.25">
      <c r="A112" s="30"/>
      <c r="B112" s="18" t="str">
        <f t="shared" si="1"/>
        <v/>
      </c>
    </row>
    <row r="113" spans="1:2" x14ac:dyDescent="0.25">
      <c r="A113" s="30"/>
      <c r="B113" s="18" t="str">
        <f t="shared" si="1"/>
        <v/>
      </c>
    </row>
    <row r="114" spans="1:2" x14ac:dyDescent="0.25">
      <c r="A114" s="30"/>
      <c r="B114" s="18" t="str">
        <f t="shared" si="1"/>
        <v/>
      </c>
    </row>
    <row r="115" spans="1:2" x14ac:dyDescent="0.25">
      <c r="A115" s="30"/>
      <c r="B115" s="18" t="str">
        <f t="shared" si="1"/>
        <v/>
      </c>
    </row>
    <row r="116" spans="1:2" x14ac:dyDescent="0.25">
      <c r="A116" s="30"/>
      <c r="B116" s="18" t="str">
        <f t="shared" si="1"/>
        <v/>
      </c>
    </row>
    <row r="117" spans="1:2" x14ac:dyDescent="0.25">
      <c r="A117" s="30"/>
      <c r="B117" s="18" t="str">
        <f t="shared" si="1"/>
        <v/>
      </c>
    </row>
    <row r="118" spans="1:2" x14ac:dyDescent="0.25">
      <c r="A118" s="30"/>
      <c r="B118" s="18" t="str">
        <f t="shared" si="1"/>
        <v/>
      </c>
    </row>
    <row r="119" spans="1:2" x14ac:dyDescent="0.25">
      <c r="A119" s="30"/>
      <c r="B119" s="18" t="str">
        <f t="shared" si="1"/>
        <v/>
      </c>
    </row>
    <row r="120" spans="1:2" x14ac:dyDescent="0.25">
      <c r="A120" s="30"/>
      <c r="B120" s="18" t="str">
        <f t="shared" si="1"/>
        <v/>
      </c>
    </row>
    <row r="121" spans="1:2" x14ac:dyDescent="0.25">
      <c r="A121" s="30"/>
      <c r="B121" s="18" t="str">
        <f t="shared" si="1"/>
        <v/>
      </c>
    </row>
    <row r="122" spans="1:2" x14ac:dyDescent="0.25">
      <c r="A122" s="30"/>
      <c r="B122" s="18" t="str">
        <f t="shared" si="1"/>
        <v/>
      </c>
    </row>
    <row r="123" spans="1:2" x14ac:dyDescent="0.25">
      <c r="A123" s="30"/>
      <c r="B123" s="18" t="str">
        <f t="shared" si="1"/>
        <v/>
      </c>
    </row>
    <row r="124" spans="1:2" x14ac:dyDescent="0.25">
      <c r="A124" s="30"/>
      <c r="B124" s="18" t="str">
        <f t="shared" si="1"/>
        <v/>
      </c>
    </row>
    <row r="125" spans="1:2" x14ac:dyDescent="0.25">
      <c r="A125" s="30"/>
      <c r="B125" s="18" t="str">
        <f t="shared" si="1"/>
        <v/>
      </c>
    </row>
    <row r="126" spans="1:2" x14ac:dyDescent="0.25">
      <c r="A126" s="30"/>
      <c r="B126" s="18" t="str">
        <f t="shared" si="1"/>
        <v/>
      </c>
    </row>
    <row r="127" spans="1:2" x14ac:dyDescent="0.25">
      <c r="A127" s="30"/>
      <c r="B127" s="18" t="str">
        <f t="shared" si="1"/>
        <v/>
      </c>
    </row>
    <row r="128" spans="1:2" x14ac:dyDescent="0.25">
      <c r="A128" s="30"/>
      <c r="B128" s="18" t="str">
        <f t="shared" si="1"/>
        <v/>
      </c>
    </row>
    <row r="129" spans="1:2" x14ac:dyDescent="0.25">
      <c r="A129" s="30"/>
      <c r="B129" s="18" t="str">
        <f t="shared" si="1"/>
        <v/>
      </c>
    </row>
    <row r="130" spans="1:2" x14ac:dyDescent="0.25">
      <c r="A130" s="30"/>
      <c r="B130" s="18" t="str">
        <f t="shared" si="1"/>
        <v/>
      </c>
    </row>
    <row r="131" spans="1:2" x14ac:dyDescent="0.25">
      <c r="A131" s="30"/>
      <c r="B131" s="18" t="str">
        <f t="shared" ref="B131:B194" si="2">IF(NOT(ISBLANK(A131)),A131&amp;"\n","")</f>
        <v/>
      </c>
    </row>
    <row r="132" spans="1:2" x14ac:dyDescent="0.25">
      <c r="A132" s="30"/>
      <c r="B132" s="18" t="str">
        <f t="shared" si="2"/>
        <v/>
      </c>
    </row>
    <row r="133" spans="1:2" x14ac:dyDescent="0.25">
      <c r="A133" s="30"/>
      <c r="B133" s="18" t="str">
        <f t="shared" si="2"/>
        <v/>
      </c>
    </row>
    <row r="134" spans="1:2" x14ac:dyDescent="0.25">
      <c r="A134" s="30"/>
      <c r="B134" s="18" t="str">
        <f t="shared" si="2"/>
        <v/>
      </c>
    </row>
    <row r="135" spans="1:2" x14ac:dyDescent="0.25">
      <c r="A135" s="30"/>
      <c r="B135" s="18" t="str">
        <f t="shared" si="2"/>
        <v/>
      </c>
    </row>
    <row r="136" spans="1:2" x14ac:dyDescent="0.25">
      <c r="A136" s="30"/>
      <c r="B136" s="18" t="str">
        <f t="shared" si="2"/>
        <v/>
      </c>
    </row>
    <row r="137" spans="1:2" x14ac:dyDescent="0.25">
      <c r="A137" s="30"/>
      <c r="B137" s="18" t="str">
        <f t="shared" si="2"/>
        <v/>
      </c>
    </row>
    <row r="138" spans="1:2" x14ac:dyDescent="0.25">
      <c r="A138" s="30"/>
      <c r="B138" s="18" t="str">
        <f t="shared" si="2"/>
        <v/>
      </c>
    </row>
    <row r="139" spans="1:2" x14ac:dyDescent="0.25">
      <c r="A139" s="30"/>
      <c r="B139" s="18" t="str">
        <f t="shared" si="2"/>
        <v/>
      </c>
    </row>
    <row r="140" spans="1:2" x14ac:dyDescent="0.25">
      <c r="A140" s="30"/>
      <c r="B140" s="18" t="str">
        <f t="shared" si="2"/>
        <v/>
      </c>
    </row>
    <row r="141" spans="1:2" x14ac:dyDescent="0.25">
      <c r="A141" s="33"/>
      <c r="B141" s="18" t="str">
        <f t="shared" si="2"/>
        <v/>
      </c>
    </row>
    <row r="142" spans="1:2" x14ac:dyDescent="0.25">
      <c r="A142" s="33"/>
      <c r="B142" s="18" t="str">
        <f t="shared" si="2"/>
        <v/>
      </c>
    </row>
    <row r="143" spans="1:2" x14ac:dyDescent="0.25">
      <c r="A143" s="33"/>
      <c r="B143" s="18" t="str">
        <f t="shared" si="2"/>
        <v/>
      </c>
    </row>
    <row r="144" spans="1:2" x14ac:dyDescent="0.25">
      <c r="A144" s="33"/>
      <c r="B144" s="18" t="str">
        <f t="shared" si="2"/>
        <v/>
      </c>
    </row>
    <row r="145" spans="1:2" x14ac:dyDescent="0.25">
      <c r="A145" s="33"/>
      <c r="B145" s="18" t="str">
        <f t="shared" si="2"/>
        <v/>
      </c>
    </row>
    <row r="146" spans="1:2" x14ac:dyDescent="0.25">
      <c r="A146" s="33"/>
      <c r="B146" s="18" t="str">
        <f t="shared" si="2"/>
        <v/>
      </c>
    </row>
    <row r="147" spans="1:2" x14ac:dyDescent="0.25">
      <c r="A147" s="33"/>
      <c r="B147" s="18" t="str">
        <f t="shared" si="2"/>
        <v/>
      </c>
    </row>
    <row r="148" spans="1:2" x14ac:dyDescent="0.25">
      <c r="A148" s="33"/>
      <c r="B148" s="18" t="str">
        <f t="shared" si="2"/>
        <v/>
      </c>
    </row>
    <row r="149" spans="1:2" x14ac:dyDescent="0.25">
      <c r="A149" s="33"/>
      <c r="B149" s="18" t="str">
        <f t="shared" si="2"/>
        <v/>
      </c>
    </row>
    <row r="150" spans="1:2" x14ac:dyDescent="0.25">
      <c r="A150" s="33"/>
      <c r="B150" s="18" t="str">
        <f t="shared" si="2"/>
        <v/>
      </c>
    </row>
    <row r="151" spans="1:2" x14ac:dyDescent="0.25">
      <c r="A151" s="33"/>
      <c r="B151" s="18" t="str">
        <f t="shared" si="2"/>
        <v/>
      </c>
    </row>
    <row r="152" spans="1:2" x14ac:dyDescent="0.25">
      <c r="A152" s="33"/>
      <c r="B152" s="18" t="str">
        <f t="shared" si="2"/>
        <v/>
      </c>
    </row>
    <row r="153" spans="1:2" x14ac:dyDescent="0.25">
      <c r="A153" s="33"/>
      <c r="B153" s="18" t="str">
        <f t="shared" si="2"/>
        <v/>
      </c>
    </row>
    <row r="154" spans="1:2" x14ac:dyDescent="0.25">
      <c r="A154" s="33"/>
      <c r="B154" s="18" t="str">
        <f t="shared" si="2"/>
        <v/>
      </c>
    </row>
    <row r="155" spans="1:2" x14ac:dyDescent="0.25">
      <c r="A155" s="33"/>
      <c r="B155" s="18" t="str">
        <f t="shared" si="2"/>
        <v/>
      </c>
    </row>
    <row r="156" spans="1:2" x14ac:dyDescent="0.25">
      <c r="A156" s="33"/>
      <c r="B156" s="18" t="str">
        <f t="shared" si="2"/>
        <v/>
      </c>
    </row>
    <row r="157" spans="1:2" x14ac:dyDescent="0.25">
      <c r="A157" s="33"/>
      <c r="B157" s="18" t="str">
        <f t="shared" si="2"/>
        <v/>
      </c>
    </row>
    <row r="158" spans="1:2" x14ac:dyDescent="0.25">
      <c r="A158" s="33"/>
      <c r="B158" s="18" t="str">
        <f t="shared" si="2"/>
        <v/>
      </c>
    </row>
    <row r="159" spans="1:2" x14ac:dyDescent="0.25">
      <c r="A159" s="33"/>
      <c r="B159" s="18" t="str">
        <f t="shared" si="2"/>
        <v/>
      </c>
    </row>
    <row r="160" spans="1:2" x14ac:dyDescent="0.25">
      <c r="A160" s="33"/>
      <c r="B160" s="18" t="str">
        <f t="shared" si="2"/>
        <v/>
      </c>
    </row>
    <row r="161" spans="1:2" x14ac:dyDescent="0.25">
      <c r="A161" s="33"/>
      <c r="B161" s="18" t="str">
        <f t="shared" si="2"/>
        <v/>
      </c>
    </row>
    <row r="162" spans="1:2" x14ac:dyDescent="0.25">
      <c r="A162" s="33"/>
      <c r="B162" s="18" t="str">
        <f t="shared" si="2"/>
        <v/>
      </c>
    </row>
    <row r="163" spans="1:2" x14ac:dyDescent="0.25">
      <c r="A163" s="33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"/>
  <sheetViews>
    <sheetView zoomScale="85" zoomScaleNormal="85" workbookViewId="0">
      <selection activeCell="A16" sqref="A16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="&amp;_xlfn.CONCAT(J2:J4)&amp;";"</f>
        <v>var code =;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30"/>
      <c r="J2" s="18" t="str">
        <f>IF(ISBLANK(I2),"",I2&amp;"+'\n'+")</f>
        <v/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0"/>
      <c r="J4" s="18" t="str">
        <f t="shared" si="2"/>
        <v/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8"/>
  <sheetViews>
    <sheetView zoomScale="85" zoomScaleNormal="85" workbookViewId="0">
      <selection activeCell="G15" sqref="G15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34</v>
      </c>
      <c r="C1" s="3" t="s">
        <v>13</v>
      </c>
      <c r="E1" s="3" t="s">
        <v>35</v>
      </c>
      <c r="G1" t="s">
        <v>4</v>
      </c>
      <c r="H1" s="7" t="str">
        <f>"var code ='"&amp;H3&amp;"' + "&amp;H4&amp;" + '"&amp;H5&amp;"';"</f>
        <v>var code ='' + statements_msg + '';</v>
      </c>
    </row>
    <row r="2" spans="1:12" x14ac:dyDescent="0.25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4"/>
      <c r="H2" s="5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36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37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38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F559-DC5F-4ACC-A253-600DCE02F509}">
  <dimension ref="A1:L88"/>
  <sheetViews>
    <sheetView zoomScale="85" zoomScaleNormal="85" workbookViewId="0">
      <selection activeCell="E13" sqref="E13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s="2" t="s">
        <v>24</v>
      </c>
      <c r="C1" s="3" t="s">
        <v>13</v>
      </c>
      <c r="E1" s="3" t="s">
        <v>25</v>
      </c>
      <c r="G1" t="s">
        <v>4</v>
      </c>
      <c r="H1" s="7" t="str">
        <f>"Blockly.Arduino.definitions_['"&amp;H2&amp;"'] = '"&amp;H3&amp;"' + "&amp;H4&amp;" + '"&amp;H5&amp;"';"</f>
        <v>Blockly.Arduino.definitions_['_01imi_gpscloud_init'] = '#include "arduino_secrets.h"\n #include "thingProperties.h"\n //=====變數設定 Start=====\n ' + statements_uart + '//=====變數設定 End=====\n double  Lats[4][6]={\n   {22.6364582999265,22.6364582999265,22.6364582999265,22.6364582999265,22.6364582999265,22.6364582999265},\n   {22.6349390408069,22.6349390408069,22.6349390408069,22.6349390408069,22.6349390408069,22.6349390408069},\n   {22.6334197816872,22.6334197816872,22.6334197816872,22.6334197816872,22.6334197816872,22.6334197816872},\n   {22.6319005225676,22.6319005225676,22.6319005225676,22.6319005225676,22.6319005225676,22.6319005225676}\n };\n double  Longs[4][6]={\n   {120.30257035839 , 120.304121598992, 120.305672839593 , 120.307224080195 , 120.308775320796 , 120.310326561398},\n   {120.30257035839 , 120.304121598992, 120.305672839593 , 120.307224080195 , 120.308775320796 , 120.310326561398},\n   {120.30257035839 , 120.304121598992, 120.305672839593 , 120.307224080195 , 120.308775320796 , 120.310326561398},\n   {120.30257035839 , 120.304121598992, 120.305672839593 , 120.307224080195 , 120.308775320796 , 120.310326561398}\n };\n int carX = 0;\n int carY = 0;\n ';</v>
      </c>
    </row>
    <row r="2" spans="1:12" x14ac:dyDescent="0.25">
      <c r="A2" s="28" t="s">
        <v>43</v>
      </c>
      <c r="B2" s="18" t="str">
        <f>IF(NOT(ISBLANK(A2)),A2&amp;"\n ","")</f>
        <v xml:space="preserve">#include "arduino_secrets.h"\n </v>
      </c>
      <c r="C2" s="21" t="s">
        <v>26</v>
      </c>
      <c r="D2" s="18" t="str">
        <f>IF(NOT(ISBLANK(C2)),C2,"")</f>
        <v>statements_uart</v>
      </c>
      <c r="E2" s="28" t="s">
        <v>41</v>
      </c>
      <c r="F2" s="18" t="str">
        <f>IF(NOT(ISBLANK(E2)),E2&amp;"\n ","")</f>
        <v xml:space="preserve">//=====變數設定 End=====\n </v>
      </c>
      <c r="G2" s="32" t="s">
        <v>3</v>
      </c>
      <c r="H2" s="19" t="s">
        <v>42</v>
      </c>
    </row>
    <row r="3" spans="1:12" x14ac:dyDescent="0.25">
      <c r="A3" s="28" t="s">
        <v>44</v>
      </c>
      <c r="B3" s="18" t="str">
        <f t="shared" ref="B3:B66" si="0">IF(NOT(ISBLANK(A3)),A3&amp;"\n ","")</f>
        <v xml:space="preserve">#include "thingProperties.h"\n </v>
      </c>
      <c r="C3" s="21"/>
      <c r="D3" s="18" t="str">
        <f t="shared" ref="D3:D66" si="1">IF(NOT(ISBLANK(C3)),C3,"")</f>
        <v/>
      </c>
      <c r="E3" s="28"/>
      <c r="F3" s="18" t="str">
        <f t="shared" ref="F3:F66" si="2">IF(NOT(ISBLANK(E3)),E3&amp;"\n ","")</f>
        <v/>
      </c>
      <c r="G3" s="5" t="s">
        <v>17</v>
      </c>
      <c r="H3" s="5" t="str">
        <f>_xlfn.CONCAT(B2:B999)</f>
        <v xml:space="preserve">#include "arduino_secrets.h"\n #include "thingProperties.h"\n //=====變數設定 Start=====\n </v>
      </c>
      <c r="I3" s="22"/>
      <c r="J3" s="22"/>
      <c r="K3" s="22"/>
      <c r="L3" s="22"/>
    </row>
    <row r="4" spans="1:12" x14ac:dyDescent="0.25">
      <c r="A4" s="28"/>
      <c r="B4" s="18" t="str">
        <f t="shared" si="0"/>
        <v/>
      </c>
      <c r="C4" s="21"/>
      <c r="D4" s="18" t="str">
        <f t="shared" si="1"/>
        <v/>
      </c>
      <c r="E4" s="28" t="s">
        <v>46</v>
      </c>
      <c r="F4" s="18" t="str">
        <f t="shared" si="2"/>
        <v xml:space="preserve">double  Lats[4][6]={\n </v>
      </c>
      <c r="G4" s="5" t="s">
        <v>18</v>
      </c>
      <c r="H4" s="4" t="str">
        <f>D2</f>
        <v>statements_uart</v>
      </c>
    </row>
    <row r="5" spans="1:12" x14ac:dyDescent="0.25">
      <c r="A5" s="28" t="s">
        <v>45</v>
      </c>
      <c r="B5" s="18" t="str">
        <f t="shared" si="0"/>
        <v xml:space="preserve">//=====變數設定 Start=====\n </v>
      </c>
      <c r="C5" s="21"/>
      <c r="D5" s="18" t="str">
        <f t="shared" si="1"/>
        <v/>
      </c>
      <c r="E5" s="28" t="s">
        <v>47</v>
      </c>
      <c r="F5" s="18" t="str">
        <f t="shared" si="2"/>
        <v xml:space="preserve">  {22.6364582999265,22.6364582999265,22.6364582999265,22.6364582999265,22.6364582999265,22.6364582999265},\n </v>
      </c>
      <c r="G5" s="5" t="s">
        <v>19</v>
      </c>
      <c r="H5" s="4" t="str">
        <f>_xlfn.CONCAT(F2:F999)</f>
        <v xml:space="preserve">//=====變數設定 End=====\n double  Lats[4][6]={\n   {22.6364582999265,22.6364582999265,22.6364582999265,22.6364582999265,22.6364582999265,22.6364582999265},\n   {22.6349390408069,22.6349390408069,22.6349390408069,22.6349390408069,22.6349390408069,22.6349390408069},\n   {22.6334197816872,22.6334197816872,22.6334197816872,22.6334197816872,22.6334197816872,22.6334197816872},\n   {22.6319005225676,22.6319005225676,22.6319005225676,22.6319005225676,22.6319005225676,22.6319005225676}\n };\n double  Longs[4][6]={\n   {120.30257035839 , 120.304121598992, 120.305672839593 , 120.307224080195 , 120.308775320796 , 120.310326561398},\n   {120.30257035839 , 120.304121598992, 120.305672839593 , 120.307224080195 , 120.308775320796 , 120.310326561398},\n   {120.30257035839 , 120.304121598992, 120.305672839593 , 120.307224080195 , 120.308775320796 , 120.310326561398},\n   {120.30257035839 , 120.304121598992, 120.305672839593 , 120.307224080195 , 120.308775320796 , 120.310326561398}\n };\n int carX = 0;\n int carY = 0;\n </v>
      </c>
    </row>
    <row r="6" spans="1:12" x14ac:dyDescent="0.25">
      <c r="A6" s="28"/>
      <c r="B6" s="18" t="str">
        <f t="shared" si="0"/>
        <v/>
      </c>
      <c r="C6" s="21"/>
      <c r="D6" s="18" t="str">
        <f t="shared" si="1"/>
        <v/>
      </c>
      <c r="E6" s="28" t="s">
        <v>48</v>
      </c>
      <c r="F6" s="18" t="str">
        <f t="shared" si="2"/>
        <v xml:space="preserve">  {22.6349390408069,22.6349390408069,22.6349390408069,22.6349390408069,22.6349390408069,22.6349390408069},\n </v>
      </c>
    </row>
    <row r="7" spans="1:12" x14ac:dyDescent="0.25">
      <c r="A7" s="28"/>
      <c r="B7" s="18" t="str">
        <f t="shared" si="0"/>
        <v/>
      </c>
      <c r="C7" s="21"/>
      <c r="D7" s="18" t="str">
        <f t="shared" si="1"/>
        <v/>
      </c>
      <c r="E7" s="28" t="s">
        <v>49</v>
      </c>
      <c r="F7" s="18" t="str">
        <f t="shared" si="2"/>
        <v xml:space="preserve">  {22.6334197816872,22.6334197816872,22.6334197816872,22.6334197816872,22.6334197816872,22.6334197816872},\n </v>
      </c>
    </row>
    <row r="8" spans="1:12" x14ac:dyDescent="0.25">
      <c r="A8" s="16"/>
      <c r="B8" s="18" t="str">
        <f t="shared" si="0"/>
        <v/>
      </c>
      <c r="C8" s="21"/>
      <c r="D8" s="18" t="str">
        <f t="shared" si="1"/>
        <v/>
      </c>
      <c r="E8" s="28" t="s">
        <v>50</v>
      </c>
      <c r="F8" s="18" t="str">
        <f t="shared" si="2"/>
        <v xml:space="preserve">  {22.6319005225676,22.6319005225676,22.6319005225676,22.6319005225676,22.6319005225676,22.6319005225676}\n </v>
      </c>
    </row>
    <row r="9" spans="1:12" x14ac:dyDescent="0.25">
      <c r="A9" s="16"/>
      <c r="B9" s="18" t="str">
        <f t="shared" si="0"/>
        <v/>
      </c>
      <c r="C9" s="21"/>
      <c r="D9" s="18" t="str">
        <f t="shared" si="1"/>
        <v/>
      </c>
      <c r="E9" s="28" t="s">
        <v>51</v>
      </c>
      <c r="F9" s="18" t="str">
        <f t="shared" si="2"/>
        <v xml:space="preserve">};\n </v>
      </c>
    </row>
    <row r="10" spans="1:12" x14ac:dyDescent="0.25">
      <c r="A10" s="16"/>
      <c r="B10" s="18" t="str">
        <f t="shared" si="0"/>
        <v/>
      </c>
      <c r="C10" s="21"/>
      <c r="D10" s="18" t="str">
        <f t="shared" si="1"/>
        <v/>
      </c>
      <c r="E10" s="28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1"/>
      <c r="D11" s="18" t="str">
        <f t="shared" si="1"/>
        <v/>
      </c>
      <c r="E11" s="28" t="s">
        <v>52</v>
      </c>
      <c r="F11" s="18" t="str">
        <f t="shared" si="2"/>
        <v xml:space="preserve">double  Longs[4][6]={\n </v>
      </c>
    </row>
    <row r="12" spans="1:12" x14ac:dyDescent="0.25">
      <c r="A12" s="16"/>
      <c r="B12" s="18" t="str">
        <f t="shared" si="0"/>
        <v/>
      </c>
      <c r="C12" s="21"/>
      <c r="D12" s="18" t="str">
        <f t="shared" si="1"/>
        <v/>
      </c>
      <c r="E12" s="28" t="s">
        <v>53</v>
      </c>
      <c r="F12" s="18" t="str">
        <f t="shared" si="2"/>
        <v xml:space="preserve">  {120.30257035839 , 120.304121598992, 120.305672839593 , 120.307224080195 , 120.308775320796 , 120.310326561398},\n </v>
      </c>
    </row>
    <row r="13" spans="1:12" x14ac:dyDescent="0.25">
      <c r="A13" s="16"/>
      <c r="B13" s="18" t="str">
        <f t="shared" si="0"/>
        <v/>
      </c>
      <c r="C13" s="21"/>
      <c r="D13" s="18" t="str">
        <f t="shared" si="1"/>
        <v/>
      </c>
      <c r="E13" s="28" t="s">
        <v>53</v>
      </c>
      <c r="F13" s="18" t="str">
        <f t="shared" si="2"/>
        <v xml:space="preserve">  {120.30257035839 , 120.304121598992, 120.305672839593 , 120.307224080195 , 120.308775320796 , 120.310326561398},\n </v>
      </c>
    </row>
    <row r="14" spans="1:12" x14ac:dyDescent="0.25">
      <c r="A14" s="16"/>
      <c r="B14" s="18" t="str">
        <f t="shared" si="0"/>
        <v/>
      </c>
      <c r="C14" s="21"/>
      <c r="D14" s="18" t="str">
        <f t="shared" si="1"/>
        <v/>
      </c>
      <c r="E14" s="28" t="s">
        <v>53</v>
      </c>
      <c r="F14" s="18" t="str">
        <f t="shared" si="2"/>
        <v xml:space="preserve">  {120.30257035839 , 120.304121598992, 120.305672839593 , 120.307224080195 , 120.308775320796 , 120.310326561398},\n </v>
      </c>
    </row>
    <row r="15" spans="1:12" x14ac:dyDescent="0.25">
      <c r="A15" s="16"/>
      <c r="B15" s="18" t="str">
        <f t="shared" si="0"/>
        <v/>
      </c>
      <c r="C15" s="21"/>
      <c r="D15" s="18" t="str">
        <f t="shared" si="1"/>
        <v/>
      </c>
      <c r="E15" s="28" t="s">
        <v>54</v>
      </c>
      <c r="F15" s="18" t="str">
        <f t="shared" si="2"/>
        <v xml:space="preserve">  {120.30257035839 , 120.304121598992, 120.305672839593 , 120.307224080195 , 120.308775320796 , 120.310326561398}\n </v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8" t="s">
        <v>51</v>
      </c>
      <c r="F16" s="18" t="str">
        <f t="shared" si="2"/>
        <v xml:space="preserve">};\n </v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8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8" t="s">
        <v>55</v>
      </c>
      <c r="F18" s="18" t="str">
        <f t="shared" si="2"/>
        <v xml:space="preserve">int carX = 0;\n </v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8" t="s">
        <v>56</v>
      </c>
      <c r="F19" s="18" t="str">
        <f t="shared" si="2"/>
        <v xml:space="preserve">int carY = 0;\n </v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8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8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8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8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8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8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8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8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8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8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8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8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8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8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8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8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8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8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8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8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8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8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8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8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8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8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8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8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8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C3CD-3C97-4F50-8134-FC6BD39613EF}">
  <dimension ref="A1:L89"/>
  <sheetViews>
    <sheetView zoomScale="85" zoomScaleNormal="85" workbookViewId="0">
      <selection activeCell="K2" sqref="K2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="&amp;_xlfn.CONCAT(J2:J4)&amp;";"</f>
        <v>var code = '//UART'+'\n'+ '#define U1RXD '+value_rx+'\n'+ '#define U1TXD '+value_tx+'\n'+;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57</v>
      </c>
      <c r="J2" s="18" t="str">
        <f>IF(ISBLANK(I2),"",I2&amp;"+'\n'+")</f>
        <v xml:space="preserve"> '//UART'+'\n'+</v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28" t="s">
        <v>58</v>
      </c>
      <c r="J3" s="18" t="str">
        <f t="shared" ref="J3:J66" si="2">IF(ISBLANK(I3),"",I3&amp;"+'\n'+")</f>
        <v xml:space="preserve"> '#define U1RXD '+value_rx+'\n'+</v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28" t="s">
        <v>59</v>
      </c>
      <c r="J4" s="18" t="str">
        <f t="shared" si="2"/>
        <v xml:space="preserve"> '#define U1TXD '+value_tx+'\n'+</v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C350-3E18-41D0-A47E-99AD671B1A99}">
  <dimension ref="A1:F118"/>
  <sheetViews>
    <sheetView zoomScale="85" zoomScaleNormal="85" workbookViewId="0">
      <selection activeCell="A16" sqref="A16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7</v>
      </c>
      <c r="C1" t="s">
        <v>4</v>
      </c>
      <c r="D1" s="7" t="str">
        <f>"Blockly.Arduino.setups_['"&amp;D2&amp;"'] = '"&amp;D3&amp;"';"</f>
        <v>Blockly.Arduino.setups_['_03imi_gpscloud_setup'] = '  Serial.begin(115200);\n  Serial2.begin(9600, SERIAL_8N1, U1RXD, U1TXD);\n  delay(1500); \n  // Defined in thingProperties.h\n  initProperties();\n  // Connect to Arduino IoT Cloud\n  ArduinoCloud.begin(ArduinoIoTPreferredConnection);  \n  \n  setDebugMessageLevel(2);\n  ArduinoCloud.printDebugInfo();\n';</v>
      </c>
      <c r="E1" t="s">
        <v>0</v>
      </c>
      <c r="F1" s="6" t="e">
        <f>"Blockly.Arduino.setups_['"
&amp;#REF! &amp;"' + "
&amp;#REF! &amp;" + "
&amp;#REF! &amp;
"] = "&amp;
'3S'!F3 &amp; '3S'!F5
&amp;";"</f>
        <v>#REF!</v>
      </c>
    </row>
    <row r="2" spans="1:6" x14ac:dyDescent="0.25">
      <c r="A2" s="28" t="s">
        <v>61</v>
      </c>
      <c r="B2" s="18" t="str">
        <f>IF(NOT(ISBLANK(A2)),A2&amp;"\n","")</f>
        <v xml:space="preserve">  Serial.begin(115200);\n</v>
      </c>
      <c r="C2" s="32" t="s">
        <v>3</v>
      </c>
      <c r="D2" s="19" t="s">
        <v>60</v>
      </c>
      <c r="E2" s="13"/>
      <c r="F2" s="10"/>
    </row>
    <row r="3" spans="1:6" x14ac:dyDescent="0.25">
      <c r="A3" s="28" t="s">
        <v>62</v>
      </c>
      <c r="B3" s="18" t="str">
        <f t="shared" ref="B3:B66" si="0">IF(NOT(ISBLANK(A3)),A3&amp;"\n","")</f>
        <v xml:space="preserve">  Serial2.begin(9600, SERIAL_8N1, U1RXD, U1TXD);\n</v>
      </c>
      <c r="C3" s="5" t="s">
        <v>16</v>
      </c>
      <c r="D3" s="5" t="str">
        <f>_xlfn.CONCAT(B2:B999)</f>
        <v xml:space="preserve">  Serial.begin(115200);\n  Serial2.begin(9600, SERIAL_8N1, U1RXD, U1TXD);\n  delay(1500); \n  // Defined in thingProperties.h\n  initProperties();\n  // Connect to Arduino IoT Cloud\n  ArduinoCloud.begin(ArduinoIoTPreferredConnection);  \n  \n  setDebugMessageLevel(2);\n  ArduinoCloud.printDebugInfo();\n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28" t="s">
        <v>63</v>
      </c>
      <c r="B4" s="18" t="str">
        <f t="shared" si="0"/>
        <v xml:space="preserve">  delay(1500); \n</v>
      </c>
      <c r="E4" s="1"/>
      <c r="F4" s="12"/>
    </row>
    <row r="5" spans="1:6" x14ac:dyDescent="0.25">
      <c r="A5" s="28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28" t="s">
        <v>64</v>
      </c>
      <c r="B6" s="18" t="str">
        <f t="shared" si="0"/>
        <v xml:space="preserve">  // Defined in thingProperties.h\n</v>
      </c>
      <c r="E6" s="9"/>
      <c r="F6" s="8"/>
    </row>
    <row r="7" spans="1:6" x14ac:dyDescent="0.25">
      <c r="A7" s="28" t="s">
        <v>65</v>
      </c>
      <c r="B7" s="18" t="str">
        <f t="shared" si="0"/>
        <v xml:space="preserve">  initProperties();\n</v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28"/>
      <c r="B8" s="18" t="str">
        <f t="shared" si="0"/>
        <v/>
      </c>
      <c r="E8" s="9"/>
      <c r="F8" s="8"/>
    </row>
    <row r="9" spans="1:6" x14ac:dyDescent="0.25">
      <c r="A9" s="28" t="s">
        <v>66</v>
      </c>
      <c r="B9" s="18" t="str">
        <f t="shared" si="0"/>
        <v xml:space="preserve">  // Connect to Arduino IoT Cloud\n</v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28" t="s">
        <v>67</v>
      </c>
      <c r="B10" s="18" t="str">
        <f t="shared" si="0"/>
        <v xml:space="preserve">  ArduinoCloud.begin(ArduinoIoTPreferredConnection);  \n</v>
      </c>
      <c r="E10" s="9"/>
      <c r="F10" s="8"/>
    </row>
    <row r="11" spans="1:6" x14ac:dyDescent="0.25">
      <c r="A11" s="28" t="s">
        <v>68</v>
      </c>
      <c r="B11" s="18" t="str">
        <f t="shared" si="0"/>
        <v xml:space="preserve">  \n</v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28" t="s">
        <v>69</v>
      </c>
      <c r="B12" s="18" t="str">
        <f t="shared" si="0"/>
        <v xml:space="preserve">  setDebugMessageLevel(2);\n</v>
      </c>
      <c r="E12" s="8"/>
      <c r="F12" s="8"/>
    </row>
    <row r="13" spans="1:6" x14ac:dyDescent="0.25">
      <c r="A13" s="28" t="s">
        <v>70</v>
      </c>
      <c r="B13" s="18" t="str">
        <f t="shared" si="0"/>
        <v xml:space="preserve">  ArduinoCloud.printDebugInfo();\n</v>
      </c>
      <c r="E13" s="8"/>
      <c r="F13" s="8"/>
    </row>
    <row r="14" spans="1:6" x14ac:dyDescent="0.25">
      <c r="A14" s="28"/>
      <c r="B14" s="18" t="str">
        <f t="shared" si="0"/>
        <v/>
      </c>
      <c r="E14" s="8"/>
      <c r="F14" s="8"/>
    </row>
    <row r="15" spans="1:6" x14ac:dyDescent="0.25">
      <c r="A15" s="30"/>
      <c r="B15" s="18" t="str">
        <f t="shared" si="0"/>
        <v/>
      </c>
      <c r="E15" s="8"/>
      <c r="F15" s="8"/>
    </row>
    <row r="16" spans="1:6" x14ac:dyDescent="0.25">
      <c r="A16" s="30"/>
      <c r="B16" s="18" t="str">
        <f t="shared" si="0"/>
        <v/>
      </c>
      <c r="E16" s="8"/>
      <c r="F16" s="8"/>
    </row>
    <row r="17" spans="1:6" x14ac:dyDescent="0.25">
      <c r="A17" s="30"/>
      <c r="B17" s="18" t="str">
        <f t="shared" si="0"/>
        <v/>
      </c>
      <c r="E17" s="8"/>
      <c r="F17" s="8"/>
    </row>
    <row r="18" spans="1:6" x14ac:dyDescent="0.25">
      <c r="A18" s="30"/>
      <c r="B18" s="18" t="str">
        <f t="shared" si="0"/>
        <v/>
      </c>
      <c r="E18" s="8"/>
      <c r="F18" s="8"/>
    </row>
    <row r="19" spans="1:6" x14ac:dyDescent="0.25">
      <c r="A19" s="30"/>
      <c r="B19" s="18" t="str">
        <f t="shared" si="0"/>
        <v/>
      </c>
      <c r="E19" s="8"/>
      <c r="F19" s="8"/>
    </row>
    <row r="20" spans="1:6" x14ac:dyDescent="0.25">
      <c r="A20" s="30"/>
      <c r="B20" s="18" t="str">
        <f t="shared" si="0"/>
        <v/>
      </c>
      <c r="E20" s="8"/>
      <c r="F20" s="8"/>
    </row>
    <row r="21" spans="1:6" x14ac:dyDescent="0.25">
      <c r="A21" s="30"/>
      <c r="B21" s="18" t="str">
        <f t="shared" si="0"/>
        <v/>
      </c>
      <c r="E21" s="8"/>
      <c r="F21" s="8"/>
    </row>
    <row r="22" spans="1:6" x14ac:dyDescent="0.25">
      <c r="A22" s="30"/>
      <c r="B22" s="18" t="str">
        <f t="shared" si="0"/>
        <v/>
      </c>
      <c r="E22" s="8"/>
    </row>
    <row r="23" spans="1:6" x14ac:dyDescent="0.25">
      <c r="A23" s="30"/>
      <c r="B23" s="18" t="str">
        <f t="shared" si="0"/>
        <v/>
      </c>
    </row>
    <row r="24" spans="1:6" x14ac:dyDescent="0.25">
      <c r="A24" s="30"/>
      <c r="B24" s="18" t="str">
        <f t="shared" si="0"/>
        <v/>
      </c>
    </row>
    <row r="25" spans="1:6" x14ac:dyDescent="0.25">
      <c r="A25" s="30"/>
      <c r="B25" s="18" t="str">
        <f t="shared" si="0"/>
        <v/>
      </c>
    </row>
    <row r="26" spans="1:6" x14ac:dyDescent="0.25">
      <c r="A26" s="30"/>
      <c r="B26" s="18" t="str">
        <f t="shared" si="0"/>
        <v/>
      </c>
    </row>
    <row r="27" spans="1:6" x14ac:dyDescent="0.25">
      <c r="A27" s="30"/>
      <c r="B27" s="18" t="str">
        <f t="shared" si="0"/>
        <v/>
      </c>
    </row>
    <row r="28" spans="1:6" x14ac:dyDescent="0.25">
      <c r="A28" s="30"/>
      <c r="B28" s="18" t="str">
        <f t="shared" si="0"/>
        <v/>
      </c>
    </row>
    <row r="29" spans="1:6" x14ac:dyDescent="0.25">
      <c r="A29" s="30"/>
      <c r="B29" s="18" t="str">
        <f t="shared" si="0"/>
        <v/>
      </c>
    </row>
    <row r="30" spans="1:6" x14ac:dyDescent="0.25">
      <c r="A30" s="30"/>
      <c r="B30" s="18" t="str">
        <f t="shared" si="0"/>
        <v/>
      </c>
    </row>
    <row r="31" spans="1:6" x14ac:dyDescent="0.25">
      <c r="A31" s="30"/>
      <c r="B31" s="18" t="str">
        <f t="shared" si="0"/>
        <v/>
      </c>
    </row>
    <row r="32" spans="1:6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1480-C8DC-4591-83E9-0079462A3E4C}">
  <dimension ref="A1:L89"/>
  <sheetViews>
    <sheetView zoomScale="85" zoomScaleNormal="85" workbookViewId="0">
      <selection activeCell="K2" sqref="K2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="&amp;_xlfn.CONCAT(J2)&amp;";"</f>
        <v>var code = 'ArduinoCloud.update();'+'\n'+;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71</v>
      </c>
      <c r="J2" s="18" t="str">
        <f>IF(ISBLANK(I2),"",I2&amp;"+'\n'+")</f>
        <v xml:space="preserve"> 'ArduinoCloud.update();'+'\n'+</v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0"/>
      <c r="J4" s="18" t="str">
        <f t="shared" si="2"/>
        <v/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DBE4-EA4F-4DDA-9277-13737F23ECC4}">
  <dimension ref="A1:L89"/>
  <sheetViews>
    <sheetView zoomScale="85" zoomScaleNormal="85" workbookViewId="0">
      <selection activeCell="K2" sqref="K2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="&amp;_xlfn.CONCAT(J2:J7)&amp;";"</f>
        <v>var code = 'String str = Serial2.readString();'+'\n'+ '  if(str !=""){'+'\n'+ '    carX = (int)(str.charAt(0) - \'0\');'+'\n'+ '    carY = (int)(str.charAt(1) - \'0\');'+'\n'+ '    Serial.println(carX);'+'\n'+ '    Serial.println(carY);'+'\n'+;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72</v>
      </c>
      <c r="J2" s="18" t="str">
        <f>IF(ISBLANK(I2),"",I2&amp;"+'\n'+")</f>
        <v xml:space="preserve"> 'String str = Serial2.readString();'+'\n'+</v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28" t="s">
        <v>73</v>
      </c>
      <c r="J3" s="18" t="str">
        <f t="shared" ref="J3:J66" si="2">IF(ISBLANK(I3),"",I3&amp;"+'\n'+")</f>
        <v xml:space="preserve"> '  if(str !=""){'+'\n'+</v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28" t="s">
        <v>74</v>
      </c>
      <c r="J4" s="18" t="str">
        <f t="shared" si="2"/>
        <v xml:space="preserve"> '    carX = (int)(str.charAt(0) - \'0\');'+'\n'+</v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28" t="s">
        <v>75</v>
      </c>
      <c r="J5" s="18" t="str">
        <f t="shared" si="2"/>
        <v xml:space="preserve"> '    carY = (int)(str.charAt(1) - \'0\');'+'\n'+</v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28" t="s">
        <v>76</v>
      </c>
      <c r="J6" s="18" t="str">
        <f t="shared" si="2"/>
        <v xml:space="preserve"> '    Serial.println(carX);'+'\n'+</v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28" t="s">
        <v>77</v>
      </c>
      <c r="J7" s="18" t="str">
        <f t="shared" si="2"/>
        <v xml:space="preserve"> '    Serial.println(carY);'+'\n'+</v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0604-D372-4C8D-BD72-F8417DAEC43B}">
  <dimension ref="A1:L89"/>
  <sheetViews>
    <sheetView tabSelected="1" zoomScale="85" zoomScaleNormal="85" workbookViewId="0">
      <selection activeCell="K2" sqref="K2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="&amp;_xlfn.CONCAT(J2)&amp;";"</f>
        <v>var code = 'coordinates = {Lats[carX][carY], Longs[carX][carY]};'+'\n'+;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78</v>
      </c>
      <c r="J2" s="18" t="str">
        <f>IF(ISBLANK(I2),"",I2&amp;"+'\n'+")</f>
        <v xml:space="preserve"> 'coordinates = {Lats[carX][carY], Longs[carX][carY]};'+'\n'+</v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0"/>
      <c r="J4" s="18" t="str">
        <f t="shared" si="2"/>
        <v/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S(變)</vt:lpstr>
      <vt:lpstr>S</vt:lpstr>
      <vt:lpstr>D夾</vt:lpstr>
      <vt:lpstr>F夾</vt:lpstr>
      <vt:lpstr>F</vt:lpstr>
      <vt:lpstr>c</vt:lpstr>
      <vt:lpstr>c夾</vt:lpstr>
      <vt:lpstr>1D</vt:lpstr>
      <vt:lpstr>2c</vt:lpstr>
      <vt:lpstr>3S</vt:lpstr>
      <vt:lpstr>4c</vt:lpstr>
      <vt:lpstr>5c</vt:lpstr>
      <vt:lpstr>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2023-12-21T05:25:00Z</dcterms:modified>
</cp:coreProperties>
</file>