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\Maker\ArduinoSample\tools\myCustomBlockly\製作積木教學\iMi\完整ino程式依積木分割\"/>
    </mc:Choice>
  </mc:AlternateContent>
  <bookViews>
    <workbookView xWindow="0" yWindow="0" windowWidth="23040" windowHeight="9132" tabRatio="769" activeTab="5"/>
  </bookViews>
  <sheets>
    <sheet name="變數" sheetId="5" r:id="rId1"/>
    <sheet name="DEFINITION" sheetId="1" r:id="rId2"/>
    <sheet name="SETUP" sheetId="2" r:id="rId3"/>
    <sheet name="SETUP(1次會變動)" sheetId="7" r:id="rId4"/>
    <sheet name="FUNCTION" sheetId="4" r:id="rId5"/>
    <sheet name="LOOP_init" sheetId="12" r:id="rId6"/>
  </sheets>
  <definedNames>
    <definedName name="_xlnm._FilterDatabase" localSheetId="1" hidden="1">DEFINITION!$A$2:$M$3</definedName>
    <definedName name="_xlnm._FilterDatabase" localSheetId="5" hidden="1">LOOP_init!$C$1:$D$5</definedName>
    <definedName name="_xlnm._FilterDatabase" localSheetId="2" hidden="1">SETUP!$A$2:$K$3</definedName>
    <definedName name="_xlnm._FilterDatabase" localSheetId="3" hidden="1">'SETUP(1次會變動)'!$A$2:$G$3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2" l="1"/>
  <c r="D1" i="12" s="1"/>
  <c r="D5" i="12"/>
  <c r="D7" i="12"/>
  <c r="D9" i="12"/>
  <c r="D11" i="12"/>
  <c r="D3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2" i="2"/>
  <c r="D3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2" i="4"/>
  <c r="D3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3" i="1"/>
  <c r="B4" i="1"/>
  <c r="B5" i="1"/>
  <c r="B6" i="1"/>
  <c r="B7" i="1"/>
  <c r="B8" i="1"/>
  <c r="B9" i="1"/>
  <c r="B10" i="1"/>
  <c r="B11" i="1"/>
  <c r="B2" i="1"/>
  <c r="B11" i="7" l="1"/>
  <c r="B9" i="7"/>
  <c r="B7" i="7"/>
  <c r="B5" i="7"/>
  <c r="B3" i="7"/>
  <c r="B1" i="7" s="1"/>
  <c r="D2" i="4" l="1"/>
  <c r="D1" i="4" l="1"/>
  <c r="D2" i="2" l="1"/>
  <c r="D1" i="2" l="1"/>
  <c r="F11" i="2" l="1"/>
  <c r="F9" i="2"/>
  <c r="F7" i="2"/>
  <c r="F5" i="2"/>
  <c r="F3" i="2"/>
  <c r="D2" i="1"/>
  <c r="F1" i="1" l="1"/>
  <c r="D1" i="1"/>
  <c r="F1" i="2"/>
</calcChain>
</file>

<file path=xl/comments1.xml><?xml version="1.0" encoding="utf-8"?>
<comments xmlns="http://schemas.openxmlformats.org/spreadsheetml/2006/main">
  <authors>
    <author>AMANI</author>
  </authors>
  <commentList>
    <comment ref="E2" authorId="0" shapeId="0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comments2.xml><?xml version="1.0" encoding="utf-8"?>
<comments xmlns="http://schemas.openxmlformats.org/spreadsheetml/2006/main">
  <authors>
    <author>AMANI</author>
  </authors>
  <commentList>
    <comment ref="E2" authorId="0" shapeId="0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comments3.xml><?xml version="1.0" encoding="utf-8"?>
<comments xmlns="http://schemas.openxmlformats.org/spreadsheetml/2006/main">
  <authors>
    <author>AMANI</author>
  </authors>
  <commentList>
    <comment ref="A2" authorId="0" shapeId="0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comments4.xml><?xml version="1.0" encoding="utf-8"?>
<comments xmlns="http://schemas.openxmlformats.org/spreadsheetml/2006/main">
  <authors>
    <author>AMANI</author>
  </authors>
  <commentList>
    <comment ref="C2" authorId="0" shapeId="0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sharedStrings.xml><?xml version="1.0" encoding="utf-8"?>
<sst xmlns="http://schemas.openxmlformats.org/spreadsheetml/2006/main" count="165" uniqueCount="152">
  <si>
    <t>DEFINITION區 連N拉N</t>
    <phoneticPr fontId="2" type="noConversion"/>
  </si>
  <si>
    <t>SETUP區 連N拉N</t>
    <phoneticPr fontId="2" type="noConversion"/>
  </si>
  <si>
    <t>LOOP區 連N拉N</t>
    <phoneticPr fontId="2" type="noConversion"/>
  </si>
  <si>
    <t>FUNCTION區 1次</t>
    <phoneticPr fontId="2" type="noConversion"/>
  </si>
  <si>
    <t>FUNCTION區 連N拉N</t>
    <phoneticPr fontId="2" type="noConversion"/>
  </si>
  <si>
    <t>變數</t>
    <phoneticPr fontId="2" type="noConversion"/>
  </si>
  <si>
    <t>blocky名稱</t>
    <phoneticPr fontId="2" type="noConversion"/>
  </si>
  <si>
    <t>DEFINITION區 1次</t>
    <phoneticPr fontId="2" type="noConversion"/>
  </si>
  <si>
    <t>【DEFINITION區程式碼】</t>
  </si>
  <si>
    <t>【blockly名稱】</t>
  </si>
  <si>
    <t>完整程式碼：</t>
    <phoneticPr fontId="2" type="noConversion"/>
  </si>
  <si>
    <t xml:space="preserve">  }</t>
  </si>
  <si>
    <t>}</t>
  </si>
  <si>
    <t>value_swpin</t>
  </si>
  <si>
    <r>
      <t>''pinMode('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>value_swpin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C45911"/>
        <rFont val="Calibri"/>
        <family val="2"/>
      </rPr>
      <t>', INPUT_PULLUP);\n '</t>
    </r>
  </si>
  <si>
    <t>SETUP區 1次(程式碼固定不變動)</t>
    <phoneticPr fontId="2" type="noConversion"/>
  </si>
  <si>
    <t>SETUP區 1次(程式碼會變動)</t>
    <phoneticPr fontId="2" type="noConversion"/>
  </si>
  <si>
    <t>''pinMode('</t>
  </si>
  <si>
    <t>', INPUT_PULLUP);\n '</t>
  </si>
  <si>
    <t>imi_esp32car_init</t>
    <phoneticPr fontId="2" type="noConversion"/>
  </si>
  <si>
    <t>value_rx</t>
  </si>
  <si>
    <t>value_tx</t>
  </si>
  <si>
    <t>value_ssid</t>
  </si>
  <si>
    <t>value_wifiPwd</t>
  </si>
  <si>
    <t>value_lineToken</t>
  </si>
  <si>
    <t>value_mqttUser</t>
  </si>
  <si>
    <t>value_mqttPwd</t>
  </si>
  <si>
    <t xml:space="preserve">value_mqttPort </t>
  </si>
  <si>
    <t>dropdown_mqttTopic</t>
  </si>
  <si>
    <t>dropdown_uartTopic</t>
  </si>
  <si>
    <t>#include &lt;SoftwareSerial.h&gt;</t>
  </si>
  <si>
    <t>#include &lt;WiFi.h&gt;</t>
  </si>
  <si>
    <t>#include &lt;PubSubClient.h&gt;</t>
  </si>
  <si>
    <t>#include &lt;WiFiClientSecure.h&gt;</t>
  </si>
  <si>
    <r>
      <t>/</t>
    </r>
    <r>
      <rPr>
        <sz val="9"/>
        <color rgb="FFED7D31"/>
        <rFont val="Calibri"/>
        <family val="2"/>
      </rPr>
      <t>/</t>
    </r>
    <r>
      <rPr>
        <sz val="9"/>
        <color rgb="FFED7D31"/>
        <rFont val="新細明體"/>
        <family val="1"/>
        <charset val="136"/>
      </rPr>
      <t>與</t>
    </r>
    <r>
      <rPr>
        <sz val="9"/>
        <color rgb="FFED7D31"/>
        <rFont val="Calibri"/>
        <family val="2"/>
      </rPr>
      <t>Mega</t>
    </r>
    <r>
      <rPr>
        <sz val="9"/>
        <color rgb="FFED7D31"/>
        <rFont val="新細明體"/>
        <family val="1"/>
        <charset val="136"/>
      </rPr>
      <t>通訊</t>
    </r>
  </si>
  <si>
    <t>const char* MAP_SET = "mapSet";</t>
  </si>
  <si>
    <t>const char* GOODS_LOAD = "goodsLoad";</t>
  </si>
  <si>
    <t>const char* LINE_NOTIFY = "lineNotify";</t>
  </si>
  <si>
    <t>const char* CAR_GPS = "carGps";</t>
  </si>
  <si>
    <r>
      <t>//UART</t>
    </r>
    <r>
      <rPr>
        <sz val="9"/>
        <color rgb="FFED7D31"/>
        <rFont val="新細明體"/>
        <family val="1"/>
        <charset val="136"/>
      </rPr>
      <t>通訊</t>
    </r>
  </si>
  <si>
    <r>
      <t>''</t>
    </r>
    <r>
      <rPr>
        <sz val="9"/>
        <color rgb="FFED7D31"/>
        <rFont val="Calibri"/>
        <family val="2"/>
      </rPr>
      <t>SoftwareSerial MegaSerial(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value_rx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9"/>
        <color rgb="FFED7D31"/>
        <rFont val="Calibri"/>
        <family val="2"/>
      </rPr>
      <t>,</t>
    </r>
    <r>
      <rPr>
        <sz val="12"/>
        <color rgb="FF538135"/>
        <rFont val="Calibri"/>
        <family val="2"/>
      </rPr>
      <t>'</t>
    </r>
    <r>
      <rPr>
        <sz val="9"/>
        <color rgb="FFED7D31"/>
        <rFont val="Calibri"/>
        <family val="2"/>
      </rPr>
      <t xml:space="preserve"> 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value_tx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9"/>
        <color rgb="FFED7D31"/>
        <rFont val="Calibri"/>
        <family val="2"/>
      </rPr>
      <t>);</t>
    </r>
    <r>
      <rPr>
        <sz val="12"/>
        <color rgb="FF538135"/>
        <rFont val="Calibri"/>
        <family val="2"/>
      </rPr>
      <t>'</t>
    </r>
  </si>
  <si>
    <r>
      <t>//WiFi</t>
    </r>
    <r>
      <rPr>
        <sz val="9"/>
        <color rgb="FFED7D31"/>
        <rFont val="新細明體"/>
        <family val="1"/>
        <charset val="136"/>
      </rPr>
      <t>設定</t>
    </r>
  </si>
  <si>
    <r>
      <t>''</t>
    </r>
    <r>
      <rPr>
        <sz val="9"/>
        <color rgb="FFED7D31"/>
        <rFont val="Calibri"/>
        <family val="2"/>
      </rPr>
      <t>const char* ssid ="</t>
    </r>
    <r>
      <rPr>
        <sz val="12"/>
        <color rgb="FF538135"/>
        <rFont val="Calibri"/>
        <family val="2"/>
      </rPr>
      <t>'</t>
    </r>
    <r>
      <rPr>
        <sz val="9"/>
        <color rgb="FFED7D31"/>
        <rFont val="Calibri"/>
        <family val="2"/>
      </rPr>
      <t xml:space="preserve"> 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value_ssid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9"/>
        <color rgb="FFED7D31"/>
        <rFont val="Calibri"/>
        <family val="2"/>
      </rPr>
      <t>";</t>
    </r>
    <r>
      <rPr>
        <sz val="12"/>
        <color rgb="FF538135"/>
        <rFont val="Calibri"/>
        <family val="2"/>
      </rPr>
      <t>'</t>
    </r>
  </si>
  <si>
    <r>
      <t>''</t>
    </r>
    <r>
      <rPr>
        <sz val="9"/>
        <color rgb="FFED7D31"/>
        <rFont val="Calibri"/>
        <family val="2"/>
      </rPr>
      <t>const char* password ="</t>
    </r>
    <r>
      <rPr>
        <sz val="12"/>
        <color rgb="FF538135"/>
        <rFont val="Calibri"/>
        <family val="2"/>
      </rPr>
      <t>'</t>
    </r>
    <r>
      <rPr>
        <sz val="9"/>
        <color rgb="FFED7D31"/>
        <rFont val="Calibri"/>
        <family val="2"/>
      </rPr>
      <t xml:space="preserve"> 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value_wifiPwd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9"/>
        <color rgb="FFED7D31"/>
        <rFont val="Calibri"/>
        <family val="2"/>
      </rPr>
      <t>";</t>
    </r>
    <r>
      <rPr>
        <sz val="12"/>
        <color rgb="FF538135"/>
        <rFont val="Calibri"/>
        <family val="2"/>
      </rPr>
      <t>'</t>
    </r>
  </si>
  <si>
    <r>
      <t>//LINE</t>
    </r>
    <r>
      <rPr>
        <sz val="9"/>
        <color rgb="FFED7D31"/>
        <rFont val="新細明體"/>
        <family val="1"/>
        <charset val="136"/>
      </rPr>
      <t>權杖</t>
    </r>
  </si>
  <si>
    <r>
      <t>''</t>
    </r>
    <r>
      <rPr>
        <sz val="9"/>
        <color rgb="FFED7D31"/>
        <rFont val="Calibri"/>
        <family val="2"/>
      </rPr>
      <t>String lineToken ="</t>
    </r>
    <r>
      <rPr>
        <sz val="12"/>
        <color rgb="FF538135"/>
        <rFont val="Calibri"/>
        <family val="2"/>
      </rPr>
      <t>'</t>
    </r>
    <r>
      <rPr>
        <sz val="9"/>
        <color rgb="FFED7D31"/>
        <rFont val="Calibri"/>
        <family val="2"/>
      </rPr>
      <t xml:space="preserve"> 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value_lineToken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9"/>
        <color rgb="FFED7D31"/>
        <rFont val="Calibri"/>
        <family val="2"/>
      </rPr>
      <t>";</t>
    </r>
    <r>
      <rPr>
        <sz val="12"/>
        <color rgb="FF538135"/>
        <rFont val="Calibri"/>
        <family val="2"/>
      </rPr>
      <t>'</t>
    </r>
  </si>
  <si>
    <r>
      <t>//---- HiveMQ</t>
    </r>
    <r>
      <rPr>
        <sz val="9"/>
        <color rgb="FFED7D31"/>
        <rFont val="新細明體"/>
        <family val="1"/>
        <charset val="136"/>
      </rPr>
      <t>設定</t>
    </r>
    <r>
      <rPr>
        <sz val="9"/>
        <color rgb="FFED7D31"/>
        <rFont val="Calibri"/>
        <family val="2"/>
      </rPr>
      <t xml:space="preserve"> Start -----</t>
    </r>
  </si>
  <si>
    <t>const char* mqtt_server = "xxxxxxxx.s2.eu.hivemq.cloud";</t>
  </si>
  <si>
    <r>
      <t>''</t>
    </r>
    <r>
      <rPr>
        <sz val="9"/>
        <color rgb="FFED7D31"/>
        <rFont val="Calibri"/>
        <family val="2"/>
      </rPr>
      <t>const char* mqtt_username ="</t>
    </r>
    <r>
      <rPr>
        <sz val="12"/>
        <color rgb="FF538135"/>
        <rFont val="Calibri"/>
        <family val="2"/>
      </rPr>
      <t>'</t>
    </r>
    <r>
      <rPr>
        <sz val="9"/>
        <color rgb="FFED7D31"/>
        <rFont val="Calibri"/>
        <family val="2"/>
      </rPr>
      <t xml:space="preserve"> 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value_mqttUser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9"/>
        <color rgb="FFED7D31"/>
        <rFont val="Calibri"/>
        <family val="2"/>
      </rPr>
      <t>";</t>
    </r>
    <r>
      <rPr>
        <sz val="12"/>
        <color rgb="FF538135"/>
        <rFont val="Calibri"/>
        <family val="2"/>
      </rPr>
      <t>'</t>
    </r>
  </si>
  <si>
    <r>
      <t>''</t>
    </r>
    <r>
      <rPr>
        <sz val="9"/>
        <color rgb="FFED7D31"/>
        <rFont val="Calibri"/>
        <family val="2"/>
      </rPr>
      <t>const char* mqtt_password ="</t>
    </r>
    <r>
      <rPr>
        <sz val="12"/>
        <color rgb="FF538135"/>
        <rFont val="Calibri"/>
        <family val="2"/>
      </rPr>
      <t>'</t>
    </r>
    <r>
      <rPr>
        <sz val="9"/>
        <color rgb="FFED7D31"/>
        <rFont val="Calibri"/>
        <family val="2"/>
      </rPr>
      <t xml:space="preserve"> 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value_mqttPwd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9"/>
        <color rgb="FFED7D31"/>
        <rFont val="Calibri"/>
        <family val="2"/>
      </rPr>
      <t>";</t>
    </r>
    <r>
      <rPr>
        <sz val="12"/>
        <color rgb="FF538135"/>
        <rFont val="Calibri"/>
        <family val="2"/>
      </rPr>
      <t>'</t>
    </r>
  </si>
  <si>
    <r>
      <t>''</t>
    </r>
    <r>
      <rPr>
        <sz val="9"/>
        <color rgb="FFED7D31"/>
        <rFont val="Calibri"/>
        <family val="2"/>
      </rPr>
      <t>const int mqtt_port =</t>
    </r>
    <r>
      <rPr>
        <sz val="12"/>
        <color rgb="FF538135"/>
        <rFont val="Calibri"/>
        <family val="2"/>
      </rPr>
      <t>'</t>
    </r>
    <r>
      <rPr>
        <sz val="9"/>
        <color rgb="FFED7D31"/>
        <rFont val="Calibri"/>
        <family val="2"/>
      </rPr>
      <t xml:space="preserve"> 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value_mqttPort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9"/>
        <color rgb="FFED7D31"/>
        <rFont val="Calibri"/>
        <family val="2"/>
      </rPr>
      <t>;</t>
    </r>
    <r>
      <rPr>
        <sz val="12"/>
        <color rgb="FF538135"/>
        <rFont val="Calibri"/>
        <family val="2"/>
      </rPr>
      <t>'</t>
    </r>
  </si>
  <si>
    <r>
      <t>//Topic</t>
    </r>
    <r>
      <rPr>
        <sz val="9"/>
        <color rgb="FFED7D31"/>
        <rFont val="新細明體"/>
        <family val="1"/>
        <charset val="136"/>
      </rPr>
      <t>主題</t>
    </r>
  </si>
  <si>
    <t>const char* TOPIC_MAP_SET = "imiRobot/map/set";</t>
  </si>
  <si>
    <t>const char* TOPIC_CAR_STANDBY = "imiRobot/car/standby";</t>
  </si>
  <si>
    <t>const char* TOPIC_CAR_GPS = "imiRobot/car/gps";</t>
  </si>
  <si>
    <t>const char* TOPIC_GOODS_LOAD = "imiRobot/goods/load";</t>
  </si>
  <si>
    <t>const char* TOPIC_CAR_LOWPOWER = "imiRobot/car/lowPower";</t>
  </si>
  <si>
    <r>
      <t>//</t>
    </r>
    <r>
      <rPr>
        <sz val="9"/>
        <color rgb="FFED7D31"/>
        <rFont val="新細明體"/>
        <family val="1"/>
        <charset val="136"/>
      </rPr>
      <t>發佈者</t>
    </r>
    <r>
      <rPr>
        <sz val="9"/>
        <color rgb="FFED7D31"/>
        <rFont val="Calibri"/>
        <family val="2"/>
      </rPr>
      <t xml:space="preserve"> </t>
    </r>
    <r>
      <rPr>
        <sz val="9"/>
        <color rgb="FFED7D31"/>
        <rFont val="新細明體"/>
        <family val="1"/>
        <charset val="136"/>
      </rPr>
      <t>傳送的消息內容</t>
    </r>
  </si>
  <si>
    <t>char* mqttSendMsg = "";</t>
  </si>
  <si>
    <r>
      <t>//</t>
    </r>
    <r>
      <rPr>
        <sz val="9"/>
        <color rgb="FFED7D31"/>
        <rFont val="新細明體"/>
        <family val="1"/>
        <charset val="136"/>
      </rPr>
      <t>訂閱者</t>
    </r>
    <r>
      <rPr>
        <sz val="9"/>
        <color rgb="FFED7D31"/>
        <rFont val="Calibri"/>
        <family val="2"/>
      </rPr>
      <t xml:space="preserve"> </t>
    </r>
    <r>
      <rPr>
        <sz val="9"/>
        <color rgb="FFED7D31"/>
        <rFont val="新細明體"/>
        <family val="1"/>
        <charset val="136"/>
      </rPr>
      <t>接收的消息內容</t>
    </r>
  </si>
  <si>
    <t>String mqttGetMsg = "";</t>
  </si>
  <si>
    <t>WiFiClientSecure espClient;</t>
  </si>
  <si>
    <t>PubSubClient client(espClient);</t>
  </si>
  <si>
    <t>// HiveMQ Cloud Let's Encrypt CA certificate</t>
  </si>
  <si>
    <t>static const char* root_ca PROGMEM = R"EOF(</t>
  </si>
  <si>
    <t>-----BEGIN CERTIFICATE-----</t>
  </si>
  <si>
    <t>MIIFazCCA1OgAwIBAgIRAIIQz7DSQONZRGPgu2OCiwAwDQYJKoZIhvcNAQELBQAw</t>
  </si>
  <si>
    <t>TzELMAkGA1UEBhMCVVMxKTAnBgNVBAoTIEludGVybmV0IFNlY3VyaXR5IFJlc2Vh</t>
  </si>
  <si>
    <t>cmNoIEdyb3VwMRUwEwYDVQQDEwxJU1JHIFJvb3QgWDEwHhcNMTUwNjA0MTEwNDM4</t>
  </si>
  <si>
    <t>WhcNMzUwNjA0MTEwNDM4WjBPMQswCQYDVQQGEwJVUzEpMCcGA1UEChMgSW50ZXJu</t>
  </si>
  <si>
    <t>ZXQgU2VjdXJpdHkgUmVzZWFyY2ggR3JvdXAxFTATBgNVBAMTDElTUkcgUm9vdCBY</t>
  </si>
  <si>
    <t>MTCCAiIwDQYJKoZIhvcNAQEBBQADggIPADCCAgoCggIBAK3oJHP0FDfzm54rVygc</t>
  </si>
  <si>
    <t>h77ct984kIxuPOZXoHj3dcKi/vVqbvYATyjb3miGbESTtrFj/RQSa78f0uoxmyF+</t>
  </si>
  <si>
    <t>0TM8ukj13Xnfs7j/EvEhmkvBioZxaUpmZmyPfjxwv60pIgbz5MDmgK7iS4+3mX6U</t>
  </si>
  <si>
    <t>A5/TR5d8mUgjU+g4rk8Kb4Mu0UlXjIB0ttov0DiNewNwIRt18jA8+o+u3dpjq+sW</t>
  </si>
  <si>
    <t>T8KOEUt+zwvo/7V3LvSye0rgTBIlDHCNAymg4VMk7BPZ7hm/ELNKjD+Jo2FR3qyH</t>
  </si>
  <si>
    <t>B5T0Y3HsLuJvW5iB4YlcNHlsdu87kGJ55tukmi8mxdAQ4Q7e2RCOFvu396j3x+UC</t>
  </si>
  <si>
    <t>B5iPNgiV5+I3lg02dZ77DnKxHZu8A/lJBdiB3QW0KtZB6awBdpUKD9jf1b0SHzUv</t>
  </si>
  <si>
    <t>KBds0pjBqAlkd25HN7rOrFleaJ1/ctaJxQZBKT5ZPt0m9STJEadao0xAH0ahmbWn</t>
  </si>
  <si>
    <t>OlFuhjuefXKnEgV4We0+UXgVCwOPjdAvBbI+e0ocS3MFEvzG6uBQE3xDk3SzynTn</t>
  </si>
  <si>
    <t>jh8BCNAw1FtxNrQHusEwMFxIt4I7mKZ9YIqioymCzLq9gwQbooMDQaHWBfEbwrbw</t>
  </si>
  <si>
    <t>qHyGO0aoSCqI3Haadr8faqU9GY/rOPNk3sgrDQoo//fb4hVC1CLQJ13hef4Y53CI</t>
  </si>
  <si>
    <t>rU7m2Ys6xt0nUW7/vGT1M0NPAgMBAAGjQjBAMA4GA1UdDwEB/wQEAwIBBjAPBgNV</t>
  </si>
  <si>
    <t>HRMBAf8EBTADAQH/MB0GA1UdDgQWBBR5tFnme7bl5AFzgAiIyBpY9umbbjANBgkq</t>
  </si>
  <si>
    <t>hkiG9w0BAQsFAAOCAgEAVR9YqbyyqFDQDLHYGmkgJykIrGF1XIpu+ILlaS/V9lZL</t>
  </si>
  <si>
    <t>ubhzEFnTIZd+50xx+7LSYK05qAvqFyFWhfFQDlnrzuBZ6brJFe+GnY+EgPbk6ZGQ</t>
  </si>
  <si>
    <t>3BebYhtF8GaV0nxvwuo77x/Py9auJ/GpsMiu/X1+mvoiBOv/2X/qkSsisRcOj/KK</t>
  </si>
  <si>
    <t>NFtY2PwByVS5uCbMiogziUwthDyC3+6WVwW6LLv3xLfHTjuCvjHIInNzktHCgKQ5</t>
  </si>
  <si>
    <t>ORAzI4JMPJ+GslWYHb4phowim57iaztXOoJwTdwJx4nLCgdNbOhdjsnvzqvHu7Ur</t>
  </si>
  <si>
    <t>TkXWStAmzOVyyghqpZXjFaH3pO3JLF+l+/+sKAIuvtd7u+Nxe5AW0wdeRlN8NwdC</t>
  </si>
  <si>
    <t>jNPElpzVmbUq4JUagEiuTDkHzsxHpFKVK7q4+63SM1N95R1NbdWhscdCb+ZAJzVc</t>
  </si>
  <si>
    <t>oyi3B43njTOQ5yOf+1CceWxG1bQVs5ZufpsMljq4Ui0/1lvh+wjChP4kqKOJ2qxq</t>
  </si>
  <si>
    <t>4RgqsahDYVvTH9w7jXbyLeiNdd8XM2w9U/t7y0Ff/9yi0GE44Za4rF2LN9d11TPA</t>
  </si>
  <si>
    <t>mRGunUHBcnWEvgJBQl9nJEiU0Zsnvgc/ubhPgXRR4Xq37Z0j4r7g1SgEEzwxA57d</t>
  </si>
  <si>
    <t>emyPxgcYxn/eR44/KJ4EBs+lVDR3veyJm+kXQ99b21/+jh5Xos1AnX5iItreGCc=</t>
  </si>
  <si>
    <t>-----END CERTIFICATE-----</t>
  </si>
  <si>
    <t>)EOF";</t>
  </si>
  <si>
    <t>void reconnect() {</t>
  </si>
  <si>
    <t xml:space="preserve">  while (!client.connected()) {</t>
  </si>
  <si>
    <t xml:space="preserve">    Serial.print("Attempting MQTT connection… ");</t>
  </si>
  <si>
    <t xml:space="preserve">    String clientId = "ESP32Client";</t>
  </si>
  <si>
    <t xml:space="preserve">    if (client.connect(clientId.c_str(), mqtt_username, mqtt_password)) {</t>
  </si>
  <si>
    <t xml:space="preserve">      Serial.println("connected!");</t>
  </si>
  <si>
    <t xml:space="preserve">    } else {</t>
  </si>
  <si>
    <t xml:space="preserve">      Serial.print("failed, rc = ");</t>
  </si>
  <si>
    <t xml:space="preserve">      Serial.print(client.state());</t>
  </si>
  <si>
    <t xml:space="preserve">      Serial.println(" try again in 5 seconds");</t>
  </si>
  <si>
    <t xml:space="preserve">      delay(5000);</t>
  </si>
  <si>
    <t xml:space="preserve">    }</t>
  </si>
  <si>
    <t>void sendLineMsg(String myMsg) {</t>
  </si>
  <si>
    <t xml:space="preserve">  static WiFiClientSecure line_client;</t>
  </si>
  <si>
    <t xml:space="preserve">  line_client.setInsecure();</t>
  </si>
  <si>
    <t xml:space="preserve">  myMsg.replace("%", "%25");</t>
  </si>
  <si>
    <t xml:space="preserve">  myMsg.replace("&amp;", "%26");</t>
  </si>
  <si>
    <t xml:space="preserve">  myMsg.replace("§", "&amp;");</t>
  </si>
  <si>
    <t xml:space="preserve">  myMsg.replace("\\n", "\n");</t>
  </si>
  <si>
    <t xml:space="preserve">  if (line_client.connect("notify-api.line.me", 443)) {</t>
  </si>
  <si>
    <t xml:space="preserve">    line_client.println("POST /api/notify HTTP/1.1");</t>
  </si>
  <si>
    <t xml:space="preserve">    line_client.println("Connection: close");</t>
  </si>
  <si>
    <t xml:space="preserve">    line_client.println("Host: notify-api.line.me");</t>
  </si>
  <si>
    <t xml:space="preserve">    line_client.println("Authorization: Bearer " + lineToken);</t>
  </si>
  <si>
    <t xml:space="preserve">    line_client.println("Content-Type: application/x-www-form-urlencoded");</t>
  </si>
  <si>
    <t xml:space="preserve">    line_client.println("Content-Length: " + String(myMsg.length()));</t>
  </si>
  <si>
    <t xml:space="preserve">    line_client.println();</t>
  </si>
  <si>
    <t xml:space="preserve">    line_client.println(myMsg);</t>
  </si>
  <si>
    <t xml:space="preserve">    line_client.stop();</t>
  </si>
  <si>
    <t xml:space="preserve">  } else {</t>
  </si>
  <si>
    <t xml:space="preserve">    Serial.println("Line Notify failed");</t>
  </si>
  <si>
    <r>
      <t xml:space="preserve">  </t>
    </r>
    <r>
      <rPr>
        <sz val="9"/>
        <color rgb="FFED7D31"/>
        <rFont val="Calibri"/>
        <family val="2"/>
      </rPr>
      <t>delay(500);</t>
    </r>
  </si>
  <si>
    <t xml:space="preserve">  Serial.begin(9600);</t>
  </si>
  <si>
    <t xml:space="preserve">  delay(500);</t>
  </si>
  <si>
    <t xml:space="preserve">  MegaSerial.begin(9600);</t>
  </si>
  <si>
    <t xml:space="preserve">  setup_wifi();</t>
  </si>
  <si>
    <r>
      <t xml:space="preserve">  </t>
    </r>
    <r>
      <rPr>
        <sz val="9"/>
        <color rgb="FFED7D31"/>
        <rFont val="Calibri"/>
        <family val="2"/>
      </rPr>
      <t>//MQTT</t>
    </r>
    <r>
      <rPr>
        <sz val="9"/>
        <color rgb="FFED7D31"/>
        <rFont val="新細明體"/>
        <family val="1"/>
        <charset val="136"/>
      </rPr>
      <t>初始</t>
    </r>
  </si>
  <si>
    <t xml:space="preserve">  espClient.setCACert(root_ca);</t>
  </si>
  <si>
    <t xml:space="preserve">  client.setServer(mqtt_server, mqtt_port);</t>
  </si>
  <si>
    <t xml:space="preserve">  client.setCallback(callback);</t>
  </si>
  <si>
    <t xml:space="preserve">  if (!client.connected()) {</t>
  </si>
  <si>
    <t xml:space="preserve">    reconnect();</t>
  </si>
  <si>
    <t>LOOP區 1次</t>
    <phoneticPr fontId="2" type="noConversion"/>
  </si>
  <si>
    <r>
      <t>''</t>
    </r>
    <r>
      <rPr>
        <sz val="12"/>
        <color theme="1"/>
        <rFont val="Calibri"/>
        <family val="2"/>
      </rPr>
      <t>tm_display</t>
    </r>
    <r>
      <rPr>
        <sz val="12"/>
        <color rgb="FF538135"/>
        <rFont val="Calibri"/>
        <family val="2"/>
      </rPr>
      <t>'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>value_clk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 xml:space="preserve"> value_dio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538135"/>
        <rFont val="Calibri"/>
        <family val="2"/>
      </rPr>
      <t>'</t>
    </r>
    <r>
      <rPr>
        <sz val="12"/>
        <color theme="1"/>
        <rFont val="Calibri"/>
        <family val="2"/>
      </rPr>
      <t>.showNumberDecEx(</t>
    </r>
    <r>
      <rPr>
        <sz val="12"/>
        <color rgb="FF538135"/>
        <rFont val="Calibri"/>
        <family val="2"/>
      </rPr>
      <t>'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>value_num1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538135"/>
        <rFont val="Calibri"/>
        <family val="2"/>
      </rPr>
      <t>'</t>
    </r>
    <r>
      <rPr>
        <sz val="12"/>
        <color theme="1"/>
        <rFont val="Calibri"/>
        <family val="2"/>
      </rPr>
      <t xml:space="preserve">, 0x40, true, 2, 0); </t>
    </r>
    <r>
      <rPr>
        <sz val="12"/>
        <color rgb="FF538135"/>
        <rFont val="Calibri"/>
        <family val="2"/>
      </rPr>
      <t>\n</t>
    </r>
    <r>
      <rPr>
        <sz val="12"/>
        <color theme="1"/>
        <rFont val="Calibri"/>
        <family val="2"/>
      </rPr>
      <t>'</t>
    </r>
  </si>
  <si>
    <t>''tm_display'</t>
  </si>
  <si>
    <t>value_clk</t>
  </si>
  <si>
    <t xml:space="preserve"> value_dio</t>
  </si>
  <si>
    <t>'.showNumberDecEx('</t>
  </si>
  <si>
    <t>value_num1</t>
  </si>
  <si>
    <t>', 0x40, true, 2, 0); \n'</t>
  </si>
  <si>
    <r>
      <t>''</t>
    </r>
    <r>
      <rPr>
        <sz val="12"/>
        <color theme="1"/>
        <rFont val="Calibri"/>
        <family val="2"/>
      </rPr>
      <t>tm_display</t>
    </r>
    <r>
      <rPr>
        <sz val="12"/>
        <color rgb="FF538135"/>
        <rFont val="Calibri"/>
        <family val="2"/>
      </rPr>
      <t>'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 xml:space="preserve">value_clk 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>value_dio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538135"/>
        <rFont val="Calibri"/>
        <family val="2"/>
      </rPr>
      <t>'</t>
    </r>
    <r>
      <rPr>
        <sz val="12"/>
        <color theme="1"/>
        <rFont val="Calibri"/>
        <family val="2"/>
      </rPr>
      <t>.showNumberDecEx(</t>
    </r>
    <r>
      <rPr>
        <sz val="12"/>
        <color rgb="FF538135"/>
        <rFont val="Calibri"/>
        <family val="2"/>
      </rPr>
      <t>'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>value_num2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538135"/>
        <rFont val="Calibri"/>
        <family val="2"/>
      </rPr>
      <t>'</t>
    </r>
    <r>
      <rPr>
        <sz val="12"/>
        <color theme="1"/>
        <rFont val="Calibri"/>
        <family val="2"/>
      </rPr>
      <t>,  0, false,  2, 2);</t>
    </r>
    <r>
      <rPr>
        <sz val="12"/>
        <color rgb="FF538135"/>
        <rFont val="Calibri"/>
        <family val="2"/>
      </rPr>
      <t xml:space="preserve"> \n '</t>
    </r>
  </si>
  <si>
    <t xml:space="preserve">value_clk </t>
  </si>
  <si>
    <t>value_dio</t>
  </si>
  <si>
    <t>value_num2</t>
  </si>
  <si>
    <t>',  0, false,  2, 2); \n 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</si>
</sst>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C55A11"/>
      <name val="Calibri"/>
      <family val="2"/>
    </font>
    <font>
      <sz val="12"/>
      <color rgb="FF548235"/>
      <name val="Calibri"/>
      <family val="2"/>
    </font>
    <font>
      <sz val="12"/>
      <color rgb="FFFF0000"/>
      <name val="Calibri"/>
      <family val="2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theme="2" tint="-0.249977111117893"/>
      <name val="新細明體"/>
      <family val="2"/>
      <charset val="136"/>
      <scheme val="minor"/>
    </font>
    <font>
      <sz val="12"/>
      <color theme="2" tint="-0.249977111117893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9"/>
      <color indexed="81"/>
      <name val="細明體"/>
      <family val="3"/>
      <charset val="136"/>
    </font>
    <font>
      <sz val="12"/>
      <color rgb="FF538135"/>
      <name val="Calibri"/>
      <family val="2"/>
    </font>
    <font>
      <sz val="12"/>
      <color rgb="FFC45911"/>
      <name val="Calibri"/>
      <family val="2"/>
    </font>
    <font>
      <sz val="10"/>
      <color rgb="FF008800"/>
      <name val="Arial Unicode MS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</font>
    <font>
      <b/>
      <sz val="10"/>
      <color rgb="FFFF0000"/>
      <name val="Arial Unicode MS"/>
      <family val="2"/>
    </font>
    <font>
      <sz val="9"/>
      <color rgb="FFED7D31"/>
      <name val="Calibri"/>
      <family val="2"/>
    </font>
    <font>
      <sz val="9"/>
      <color theme="1"/>
      <name val="Calibri"/>
      <family val="2"/>
    </font>
    <font>
      <sz val="9"/>
      <color rgb="FFED7D31"/>
      <name val="新細明體"/>
      <family val="1"/>
      <charset val="136"/>
    </font>
    <font>
      <sz val="9"/>
      <color rgb="FFFF0000"/>
      <name val="Calibri"/>
      <family val="2"/>
    </font>
    <font>
      <sz val="9"/>
      <color theme="0"/>
      <name val="Calibri"/>
      <family val="2"/>
    </font>
    <font>
      <sz val="12"/>
      <color theme="2" tint="-9.9978637043366805E-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8" fillId="4" borderId="0" xfId="0" applyFont="1" applyFill="1">
      <alignment vertical="center"/>
    </xf>
    <xf numFmtId="0" fontId="9" fillId="4" borderId="0" xfId="0" applyFont="1" applyFill="1">
      <alignment vertical="center"/>
    </xf>
    <xf numFmtId="0" fontId="6" fillId="6" borderId="0" xfId="0" applyFont="1" applyFill="1">
      <alignment vertical="center"/>
    </xf>
    <xf numFmtId="0" fontId="0" fillId="5" borderId="0" xfId="0" applyFill="1">
      <alignment vertical="center"/>
    </xf>
    <xf numFmtId="0" fontId="1" fillId="5" borderId="0" xfId="1" applyFill="1">
      <alignment vertical="center"/>
    </xf>
    <xf numFmtId="49" fontId="0" fillId="0" borderId="0" xfId="0" applyNumberFormat="1">
      <alignment vertical="center"/>
    </xf>
    <xf numFmtId="49" fontId="0" fillId="3" borderId="0" xfId="0" applyNumberFormat="1" applyFill="1">
      <alignment vertical="center"/>
    </xf>
    <xf numFmtId="49" fontId="0" fillId="0" borderId="0" xfId="0" quotePrefix="1" applyNumberFormat="1">
      <alignment vertical="center"/>
    </xf>
    <xf numFmtId="49" fontId="6" fillId="6" borderId="0" xfId="0" applyNumberFormat="1" applyFont="1" applyFill="1">
      <alignment vertical="center"/>
    </xf>
    <xf numFmtId="49" fontId="7" fillId="0" borderId="0" xfId="0" quotePrefix="1" applyNumberFormat="1" applyFont="1" applyFill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3" fillId="0" borderId="0" xfId="0" applyFont="1">
      <alignment vertical="center"/>
    </xf>
    <xf numFmtId="0" fontId="14" fillId="0" borderId="2" xfId="0" applyFont="1" applyBorder="1">
      <alignment vertical="center"/>
    </xf>
    <xf numFmtId="0" fontId="4" fillId="3" borderId="0" xfId="0" applyFont="1" applyFill="1">
      <alignment vertical="center"/>
    </xf>
    <xf numFmtId="0" fontId="7" fillId="0" borderId="0" xfId="0" applyFont="1" applyFill="1">
      <alignment vertical="center"/>
    </xf>
    <xf numFmtId="0" fontId="16" fillId="0" borderId="0" xfId="0" applyFont="1">
      <alignment vertical="center"/>
    </xf>
    <xf numFmtId="0" fontId="17" fillId="0" borderId="2" xfId="0" applyFont="1" applyBorder="1">
      <alignment vertical="center"/>
    </xf>
    <xf numFmtId="0" fontId="12" fillId="3" borderId="0" xfId="0" applyFont="1" applyFill="1">
      <alignment vertical="center"/>
    </xf>
    <xf numFmtId="0" fontId="18" fillId="3" borderId="1" xfId="0" applyFont="1" applyFill="1" applyBorder="1">
      <alignment vertical="center"/>
    </xf>
    <xf numFmtId="0" fontId="19" fillId="3" borderId="1" xfId="0" applyFont="1" applyFill="1" applyBorder="1">
      <alignment vertical="center"/>
    </xf>
    <xf numFmtId="0" fontId="12" fillId="3" borderId="1" xfId="0" applyFont="1" applyFill="1" applyBorder="1">
      <alignment vertical="center"/>
    </xf>
    <xf numFmtId="0" fontId="0" fillId="0" borderId="0" xfId="0" applyFill="1">
      <alignment vertical="center"/>
    </xf>
    <xf numFmtId="0" fontId="22" fillId="4" borderId="0" xfId="0" applyFont="1" applyFill="1" applyBorder="1">
      <alignment vertical="center"/>
    </xf>
    <xf numFmtId="0" fontId="23" fillId="4" borderId="0" xfId="0" applyFont="1" applyFill="1">
      <alignment vertical="center"/>
    </xf>
  </cellXfs>
  <cellStyles count="2">
    <cellStyle name="一般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zoomScale="115" zoomScaleNormal="115" workbookViewId="0">
      <selection activeCell="D7" sqref="D7"/>
    </sheetView>
  </sheetViews>
  <sheetFormatPr defaultRowHeight="16.2"/>
  <cols>
    <col min="1" max="1" width="29" customWidth="1"/>
  </cols>
  <sheetData>
    <row r="1" spans="1:2" ht="16.8" thickBot="1">
      <c r="A1" t="s">
        <v>6</v>
      </c>
      <c r="B1" t="s">
        <v>5</v>
      </c>
    </row>
    <row r="2" spans="1:2" ht="16.8" thickBot="1">
      <c r="A2" s="17" t="s">
        <v>19</v>
      </c>
      <c r="B2" s="20" t="s">
        <v>20</v>
      </c>
    </row>
    <row r="3" spans="1:2" ht="16.8" thickBot="1">
      <c r="A3" s="17"/>
      <c r="B3" s="20" t="s">
        <v>21</v>
      </c>
    </row>
    <row r="4" spans="1:2" ht="16.8" thickBot="1">
      <c r="A4" s="17"/>
      <c r="B4" s="20" t="s">
        <v>22</v>
      </c>
    </row>
    <row r="5" spans="1:2" ht="16.8" thickBot="1">
      <c r="B5" s="20" t="s">
        <v>23</v>
      </c>
    </row>
    <row r="6" spans="1:2" ht="16.8" thickBot="1">
      <c r="B6" s="21" t="s">
        <v>24</v>
      </c>
    </row>
    <row r="7" spans="1:2">
      <c r="B7" s="20" t="s">
        <v>25</v>
      </c>
    </row>
    <row r="8" spans="1:2">
      <c r="B8" s="20" t="s">
        <v>26</v>
      </c>
    </row>
    <row r="9" spans="1:2">
      <c r="B9" s="20" t="s">
        <v>27</v>
      </c>
    </row>
    <row r="10" spans="1:2">
      <c r="B10" s="20" t="s">
        <v>28</v>
      </c>
    </row>
    <row r="11" spans="1:2">
      <c r="B11" s="20" t="s">
        <v>29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88"/>
  <sheetViews>
    <sheetView zoomScaleNormal="100" workbookViewId="0">
      <selection activeCell="D3" sqref="D3"/>
    </sheetView>
  </sheetViews>
  <sheetFormatPr defaultRowHeight="16.2"/>
  <cols>
    <col min="1" max="1" width="62.77734375" customWidth="1"/>
    <col min="2" max="2" width="35.5546875" style="26" customWidth="1"/>
    <col min="3" max="3" width="13.33203125" customWidth="1"/>
    <col min="4" max="4" width="10.109375" customWidth="1"/>
    <col min="5" max="5" width="32.77734375" customWidth="1"/>
    <col min="6" max="6" width="25" customWidth="1"/>
  </cols>
  <sheetData>
    <row r="1" spans="1:6">
      <c r="A1" t="s">
        <v>7</v>
      </c>
      <c r="C1" t="s">
        <v>10</v>
      </c>
      <c r="D1" s="8" t="str">
        <f>"Blockly.Arduino.definitions_['"&amp;D2&amp;"'] = '"&amp;D3&amp;"';"</f>
        <v>Blockly.Arduino.definitions_['imi_esp32car_init'] = '#include &lt;SoftwareSerial.h&gt;\n#include &lt;WiFi.h&gt;\n#include &lt;PubSubClient.h&gt;\n#include &lt;WiFiClientSecure.h&gt;\n//與Mega通訊\nconst char* MAP_SET = "mapSet";\nconst char* GOODS_LOAD = "goodsLoad";\nconst char* LINE_NOTIFY = "lineNotify";\nconst char* CAR_GPS = "carGps";\n//UART通訊\n''SoftwareSerial MegaSerial('+value_rx+',' +value_tx+');'\n//WiFi設定\n''const char* ssid ="' +value_ssid+'";'\n''const char* password ="' +value_wifiPwd+'";'\n//LINE權杖\n''String lineToken ="' +value_lineToken+'";'\n//---- HiveMQ設定 Start -----\nconst char* mqtt_server = "xxxxxxxx.s2.eu.hivemq.cloud";\n''const char* mqtt_username ="' +value_mqttUser+'";'\n''const char* mqtt_password ="' +value_mqttPwd+'";'\n''const int mqtt_port =' +value_mqttPort+';'\n//Topic主題\nconst char* TOPIC_MAP_SET = "imiRobot/map/set";\nconst char* TOPIC_CAR_STANDBY = "imiRobot/car/standby";\nconst char* TOPIC_CAR_GPS = "imiRobot/car/gps";\nconst char* TOPIC_GOODS_LOAD = "imiRobot/goods/load";\nconst char* TOPIC_CAR_LOWPOWER = "imiRobot/car/lowPower";\n//發佈者 傳送的消息內容\nchar* mqttSendMsg = "";\n//訂閱者 接收的消息內容\nString mqttGetMsg = "";\nWiFiClientSecure espClient;\nPubSubClient client(espClient);\n// HiveMQ Cloud Let's Encrypt CA certificate\nstatic const char* root_ca PROGMEM = R"EOF(\n-----BEGIN CERTIFICATE-----\nMIIFazCCA1OgAwIBAgIRAIIQz7DSQONZRGPgu2OCiwAwDQYJKoZIhvcNAQELBQAw\nTzELMAkGA1UEBhMCVVMxKTAnBgNVBAoTIEludGVybmV0IFNlY3VyaXR5IFJlc2Vh\ncmNoIEdyb3VwMRUwEwYDVQQDEwxJU1JHIFJvb3QgWDEwHhcNMTUwNjA0MTEwNDM4\nWhcNMzUwNjA0MTEwNDM4WjBPMQswCQYDVQQGEwJVUzEpMCcGA1UEChMgSW50ZXJu\nZXQgU2VjdXJpdHkgUmVzZWFyY2ggR3JvdXAxFTATBgNVBAMTDElTUkcgUm9vdCBY\nMTCCAiIwDQYJKoZIhvcNAQEBBQADggIPADCCAgoCggIBAK3oJHP0FDfzm54rVygc\nh77ct984kIxuPOZXoHj3dcKi/vVqbvYATyjb3miGbESTtrFj/RQSa78f0uoxmyF+\n0TM8ukj13Xnfs7j/EvEhmkvBioZxaUpmZmyPfjxwv60pIgbz5MDmgK7iS4+3mX6U\nA5/TR5d8mUgjU+g4rk8Kb4Mu0UlXjIB0ttov0DiNewNwIRt18jA8+o+u3dpjq+sW\nT8KOEUt+zwvo/7V3LvSye0rgTBIlDHCNAymg4VMk7BPZ7hm/ELNKjD+Jo2FR3qyH\nB5T0Y3HsLuJvW5iB4YlcNHlsdu87kGJ55tukmi8mxdAQ4Q7e2RCOFvu396j3x+UC\nB5iPNgiV5+I3lg02dZ77DnKxHZu8A/lJBdiB3QW0KtZB6awBdpUKD9jf1b0SHzUv\nKBds0pjBqAlkd25HN7rOrFleaJ1/ctaJxQZBKT5ZPt0m9STJEadao0xAH0ahmbWn\nOlFuhjuefXKnEgV4We0+UXgVCwOPjdAvBbI+e0ocS3MFEvzG6uBQE3xDk3SzynTn\njh8BCNAw1FtxNrQHusEwMFxIt4I7mKZ9YIqioymCzLq9gwQbooMDQaHWBfEbwrbw\nqHyGO0aoSCqI3Haadr8faqU9GY/rOPNk3sgrDQoo//fb4hVC1CLQJ13hef4Y53CI\nrU7m2Ys6xt0nUW7/vGT1M0NPAgMBAAGjQjBAMA4GA1UdDwEB/wQEAwIBBjAPBgNV\nHRMBAf8EBTADAQH/MB0GA1UdDgQWBBR5tFnme7bl5AFzgAiIyBpY9umbbjANBgkq\nhkiG9w0BAQsFAAOCAgEAVR9YqbyyqFDQDLHYGmkgJykIrGF1XIpu+ILlaS/V9lZL\nubhzEFnTIZd+50xx+7LSYK05qAvqFyFWhfFQDlnrzuBZ6brJFe+GnY+EgPbk6ZGQ\n3BebYhtF8GaV0nxvwuo77x/Py9auJ/GpsMiu/X1+mvoiBOv/2X/qkSsisRcOj/KK\nNFtY2PwByVS5uCbMiogziUwthDyC3+6WVwW6LLv3xLfHTjuCvjHIInNzktHCgKQ5\nORAzI4JMPJ+GslWYHb4phowim57iaztXOoJwTdwJx4nLCgdNbOhdjsnvzqvHu7Ur\nTkXWStAmzOVyyghqpZXjFaH3pO3JLF+l+/+sKAIuvtd7u+Nxe5AW0wdeRlN8NwdC\njNPElpzVmbUq4JUagEiuTDkHzsxHpFKVK7q4+63SM1N95R1NbdWhscdCb+ZAJzVc\noyi3B43njTOQ5yOf+1CceWxG1bQVs5ZufpsMljq4Ui0/1lvh+wjChP4kqKOJ2qxq\n4RgqsahDYVvTH9w7jXbyLeiNdd8XM2w9U/t7y0Ff/9yi0GE44Za4rF2LN9d11TPA\nmRGunUHBcnWEvgJBQl9nJEiU0Zsnvgc/ubhPgXRR4Xq37Z0j4r7g1SgEEzwxA57d\nemyPxgcYxn/eR44/KJ4EBs+lVDR3veyJm+kXQ99b21/+jh5Xos1AnX5iItreGCc=\n-----END CERTIFICATE-----\n)EOF";\n';</v>
      </c>
      <c r="E1" t="s">
        <v>0</v>
      </c>
      <c r="F1" s="7" t="str">
        <f>"Blockly.Arduino.definitions_['"&amp;變數!A2&amp;"'] = "&amp;DEFINITION!F3&amp;F5&amp;F7&amp;";"</f>
        <v>Blockly.Arduino.definitions_['imi_esp32car_init'] = ;</v>
      </c>
    </row>
    <row r="2" spans="1:6">
      <c r="A2" s="23" t="s">
        <v>30</v>
      </c>
      <c r="B2" s="27" t="str">
        <f>IF(NOT(ISBLANK(A2)),A2&amp;"\n","")</f>
        <v>#include &lt;SoftwareSerial.h&gt;\n</v>
      </c>
      <c r="C2" s="4" t="s">
        <v>9</v>
      </c>
      <c r="D2" s="5" t="str">
        <f>變數!$A$2</f>
        <v>imi_esp32car_init</v>
      </c>
      <c r="E2" s="16"/>
    </row>
    <row r="3" spans="1:6">
      <c r="A3" s="23" t="s">
        <v>31</v>
      </c>
      <c r="B3" s="27" t="str">
        <f t="shared" ref="B3:B66" si="0">IF(NOT(ISBLANK(A3)),A3&amp;"\n","")</f>
        <v>#include &lt;WiFi.h&gt;\n</v>
      </c>
      <c r="C3" s="5" t="s">
        <v>8</v>
      </c>
      <c r="D3" s="5" t="str">
        <f>B2&amp;B3&amp;B4&amp;B5&amp;B6&amp;B7&amp;B8&amp;B9&amp;B10&amp;B11&amp;B12&amp;B13&amp;B14&amp;B15&amp;B16&amp;B17&amp;B18&amp;B19&amp;B20&amp;B21&amp;B22&amp;B23&amp;B24&amp;B25&amp;B26&amp;B27&amp;B28&amp;B29&amp;B30&amp;B31&amp;B32&amp;B33&amp;B34&amp;B35&amp;B36&amp;B37&amp;B38&amp;B39&amp;B40&amp;B41&amp;B42&amp;B43&amp;B44&amp;B45&amp;B46&amp;B47&amp;B48&amp;B49&amp;B50&amp;B51&amp;B52&amp;B53&amp;B54&amp;B55&amp;B56&amp;B57&amp;B58&amp;B59&amp;B60&amp;B61&amp;B62&amp;B63&amp;B64&amp;B65&amp;B66&amp;B67&amp;B68&amp;B69&amp;B70&amp;B71&amp;B72&amp;B73&amp;B74&amp;B75&amp;B76&amp;B77&amp;B78&amp;B79&amp;B80&amp;B81&amp;B82&amp;B83&amp;B84&amp;B85&amp;B86&amp;B87&amp;B88</f>
        <v>#include &lt;SoftwareSerial.h&gt;\n#include &lt;WiFi.h&gt;\n#include &lt;PubSubClient.h&gt;\n#include &lt;WiFiClientSecure.h&gt;\n//與Mega通訊\nconst char* MAP_SET = "mapSet";\nconst char* GOODS_LOAD = "goodsLoad";\nconst char* LINE_NOTIFY = "lineNotify";\nconst char* CAR_GPS = "carGps";\n//UART通訊\n''SoftwareSerial MegaSerial('+value_rx+',' +value_tx+');'\n//WiFi設定\n''const char* ssid ="' +value_ssid+'";'\n''const char* password ="' +value_wifiPwd+'";'\n//LINE權杖\n''String lineToken ="' +value_lineToken+'";'\n//---- HiveMQ設定 Start -----\nconst char* mqtt_server = "xxxxxxxx.s2.eu.hivemq.cloud";\n''const char* mqtt_username ="' +value_mqttUser+'";'\n''const char* mqtt_password ="' +value_mqttPwd+'";'\n''const int mqtt_port =' +value_mqttPort+';'\n//Topic主題\nconst char* TOPIC_MAP_SET = "imiRobot/map/set";\nconst char* TOPIC_CAR_STANDBY = "imiRobot/car/standby";\nconst char* TOPIC_CAR_GPS = "imiRobot/car/gps";\nconst char* TOPIC_GOODS_LOAD = "imiRobot/goods/load";\nconst char* TOPIC_CAR_LOWPOWER = "imiRobot/car/lowPower";\n//發佈者 傳送的消息內容\nchar* mqttSendMsg = "";\n//訂閱者 接收的消息內容\nString mqttGetMsg = "";\nWiFiClientSecure espClient;\nPubSubClient client(espClient);\n// HiveMQ Cloud Let's Encrypt CA certificate\nstatic const char* root_ca PROGMEM = R"EOF(\n-----BEGIN CERTIFICATE-----\nMIIFazCCA1OgAwIBAgIRAIIQz7DSQONZRGPgu2OCiwAwDQYJKoZIhvcNAQELBQAw\nTzELMAkGA1UEBhMCVVMxKTAnBgNVBAoTIEludGVybmV0IFNlY3VyaXR5IFJlc2Vh\ncmNoIEdyb3VwMRUwEwYDVQQDEwxJU1JHIFJvb3QgWDEwHhcNMTUwNjA0MTEwNDM4\nWhcNMzUwNjA0MTEwNDM4WjBPMQswCQYDVQQGEwJVUzEpMCcGA1UEChMgSW50ZXJu\nZXQgU2VjdXJpdHkgUmVzZWFyY2ggR3JvdXAxFTATBgNVBAMTDElTUkcgUm9vdCBY\nMTCCAiIwDQYJKoZIhvcNAQEBBQADggIPADCCAgoCggIBAK3oJHP0FDfzm54rVygc\nh77ct984kIxuPOZXoHj3dcKi/vVqbvYATyjb3miGbESTtrFj/RQSa78f0uoxmyF+\n0TM8ukj13Xnfs7j/EvEhmkvBioZxaUpmZmyPfjxwv60pIgbz5MDmgK7iS4+3mX6U\nA5/TR5d8mUgjU+g4rk8Kb4Mu0UlXjIB0ttov0DiNewNwIRt18jA8+o+u3dpjq+sW\nT8KOEUt+zwvo/7V3LvSye0rgTBIlDHCNAymg4VMk7BPZ7hm/ELNKjD+Jo2FR3qyH\nB5T0Y3HsLuJvW5iB4YlcNHlsdu87kGJ55tukmi8mxdAQ4Q7e2RCOFvu396j3x+UC\nB5iPNgiV5+I3lg02dZ77DnKxHZu8A/lJBdiB3QW0KtZB6awBdpUKD9jf1b0SHzUv\nKBds0pjBqAlkd25HN7rOrFleaJ1/ctaJxQZBKT5ZPt0m9STJEadao0xAH0ahmbWn\nOlFuhjuefXKnEgV4We0+UXgVCwOPjdAvBbI+e0ocS3MFEvzG6uBQE3xDk3SzynTn\njh8BCNAw1FtxNrQHusEwMFxIt4I7mKZ9YIqioymCzLq9gwQbooMDQaHWBfEbwrbw\nqHyGO0aoSCqI3Haadr8faqU9GY/rOPNk3sgrDQoo//fb4hVC1CLQJ13hef4Y53CI\nrU7m2Ys6xt0nUW7/vGT1M0NPAgMBAAGjQjBAMA4GA1UdDwEB/wQEAwIBBjAPBgNV\nHRMBAf8EBTADAQH/MB0GA1UdDgQWBBR5tFnme7bl5AFzgAiIyBpY9umbbjANBgkq\nhkiG9w0BAQsFAAOCAgEAVR9YqbyyqFDQDLHYGmkgJykIrGF1XIpu+ILlaS/V9lZL\nubhzEFnTIZd+50xx+7LSYK05qAvqFyFWhfFQDlnrzuBZ6brJFe+GnY+EgPbk6ZGQ\n3BebYhtF8GaV0nxvwuo77x/Py9auJ/GpsMiu/X1+mvoiBOv/2X/qkSsisRcOj/KK\nNFtY2PwByVS5uCbMiogziUwthDyC3+6WVwW6LLv3xLfHTjuCvjHIInNzktHCgKQ5\nORAzI4JMPJ+GslWYHb4phowim57iaztXOoJwTdwJx4nLCgdNbOhdjsnvzqvHu7Ur\nTkXWStAmzOVyyghqpZXjFaH3pO3JLF+l+/+sKAIuvtd7u+Nxe5AW0wdeRlN8NwdC\njNPElpzVmbUq4JUagEiuTDkHzsxHpFKVK7q4+63SM1N95R1NbdWhscdCb+ZAJzVc\noyi3B43njTOQ5yOf+1CceWxG1bQVs5ZufpsMljq4Ui0/1lvh+wjChP4kqKOJ2qxq\n4RgqsahDYVvTH9w7jXbyLeiNdd8XM2w9U/t7y0Ff/9yi0GE44Za4rF2LN9d11TPA\nmRGunUHBcnWEvgJBQl9nJEiU0Zsnvgc/ubhPgXRR4Xq37Z0j4r7g1SgEEzwxA57d\nemyPxgcYxn/eR44/KJ4EBs+lVDR3veyJm+kXQ99b21/+jh5Xos1AnX5iItreGCc=\n-----END CERTIFICATE-----\n)EOF";\n</v>
      </c>
      <c r="F3" s="6"/>
    </row>
    <row r="4" spans="1:6">
      <c r="A4" s="23" t="s">
        <v>32</v>
      </c>
      <c r="B4" s="27" t="str">
        <f t="shared" si="0"/>
        <v>#include &lt;PubSubClient.h&gt;\n</v>
      </c>
      <c r="E4" s="16"/>
      <c r="F4" s="19"/>
    </row>
    <row r="5" spans="1:6">
      <c r="A5" s="23" t="s">
        <v>33</v>
      </c>
      <c r="B5" s="27" t="str">
        <f t="shared" si="0"/>
        <v>#include &lt;WiFiClientSecure.h&gt;\n</v>
      </c>
      <c r="F5" s="6"/>
    </row>
    <row r="6" spans="1:6">
      <c r="A6" s="24"/>
      <c r="B6" s="27" t="str">
        <f t="shared" si="0"/>
        <v/>
      </c>
      <c r="E6" s="16"/>
    </row>
    <row r="7" spans="1:6">
      <c r="A7" s="24" t="s">
        <v>34</v>
      </c>
      <c r="B7" s="27" t="str">
        <f t="shared" si="0"/>
        <v>//與Mega通訊\n</v>
      </c>
      <c r="F7" s="6"/>
    </row>
    <row r="8" spans="1:6">
      <c r="A8" s="23" t="s">
        <v>35</v>
      </c>
      <c r="B8" s="27" t="str">
        <f t="shared" si="0"/>
        <v>const char* MAP_SET = "mapSet";\n</v>
      </c>
      <c r="E8" s="2"/>
    </row>
    <row r="9" spans="1:6">
      <c r="A9" s="23" t="s">
        <v>36</v>
      </c>
      <c r="B9" s="27" t="str">
        <f t="shared" si="0"/>
        <v>const char* GOODS_LOAD = "goodsLoad";\n</v>
      </c>
      <c r="F9" s="6"/>
    </row>
    <row r="10" spans="1:6">
      <c r="A10" s="23" t="s">
        <v>37</v>
      </c>
      <c r="B10" s="27" t="str">
        <f t="shared" si="0"/>
        <v>const char* LINE_NOTIFY = "lineNotify";\n</v>
      </c>
      <c r="E10" s="2"/>
    </row>
    <row r="11" spans="1:6">
      <c r="A11" s="23" t="s">
        <v>38</v>
      </c>
      <c r="B11" s="27" t="str">
        <f t="shared" si="0"/>
        <v>const char* CAR_GPS = "carGps";\n</v>
      </c>
      <c r="F11" s="6"/>
    </row>
    <row r="12" spans="1:6">
      <c r="A12" s="24"/>
      <c r="B12" s="27" t="str">
        <f t="shared" si="0"/>
        <v/>
      </c>
    </row>
    <row r="13" spans="1:6">
      <c r="A13" s="23" t="s">
        <v>39</v>
      </c>
      <c r="B13" s="27" t="str">
        <f t="shared" si="0"/>
        <v>//UART通訊\n</v>
      </c>
    </row>
    <row r="14" spans="1:6">
      <c r="A14" s="25" t="s">
        <v>40</v>
      </c>
      <c r="B14" s="27" t="str">
        <f t="shared" si="0"/>
        <v>''SoftwareSerial MegaSerial('+value_rx+',' +value_tx+');'\n</v>
      </c>
    </row>
    <row r="15" spans="1:6">
      <c r="A15" s="24"/>
      <c r="B15" s="27" t="str">
        <f t="shared" si="0"/>
        <v/>
      </c>
    </row>
    <row r="16" spans="1:6">
      <c r="A16" s="23" t="s">
        <v>41</v>
      </c>
      <c r="B16" s="27" t="str">
        <f t="shared" si="0"/>
        <v>//WiFi設定\n</v>
      </c>
    </row>
    <row r="17" spans="1:2">
      <c r="A17" s="25" t="s">
        <v>42</v>
      </c>
      <c r="B17" s="27" t="str">
        <f t="shared" si="0"/>
        <v>''const char* ssid ="' +value_ssid+'";'\n</v>
      </c>
    </row>
    <row r="18" spans="1:2">
      <c r="A18" s="23"/>
      <c r="B18" s="27" t="str">
        <f t="shared" si="0"/>
        <v/>
      </c>
    </row>
    <row r="19" spans="1:2">
      <c r="A19" s="25" t="s">
        <v>43</v>
      </c>
      <c r="B19" s="27" t="str">
        <f t="shared" si="0"/>
        <v>''const char* password ="' +value_wifiPwd+'";'\n</v>
      </c>
    </row>
    <row r="20" spans="1:2">
      <c r="A20" s="23"/>
      <c r="B20" s="27" t="str">
        <f t="shared" si="0"/>
        <v/>
      </c>
    </row>
    <row r="21" spans="1:2">
      <c r="A21" s="23" t="s">
        <v>44</v>
      </c>
      <c r="B21" s="27" t="str">
        <f t="shared" si="0"/>
        <v>//LINE權杖\n</v>
      </c>
    </row>
    <row r="22" spans="1:2">
      <c r="A22" s="25" t="s">
        <v>45</v>
      </c>
      <c r="B22" s="27" t="str">
        <f t="shared" si="0"/>
        <v>''String lineToken ="' +value_lineToken+'";'\n</v>
      </c>
    </row>
    <row r="23" spans="1:2">
      <c r="A23" s="24"/>
      <c r="B23" s="27" t="str">
        <f t="shared" si="0"/>
        <v/>
      </c>
    </row>
    <row r="24" spans="1:2">
      <c r="A24" s="23" t="s">
        <v>46</v>
      </c>
      <c r="B24" s="27" t="str">
        <f t="shared" si="0"/>
        <v>//---- HiveMQ設定 Start -----\n</v>
      </c>
    </row>
    <row r="25" spans="1:2">
      <c r="A25" s="23" t="s">
        <v>47</v>
      </c>
      <c r="B25" s="27" t="str">
        <f t="shared" si="0"/>
        <v>const char* mqtt_server = "xxxxxxxx.s2.eu.hivemq.cloud";\n</v>
      </c>
    </row>
    <row r="26" spans="1:2">
      <c r="A26" s="25" t="s">
        <v>48</v>
      </c>
      <c r="B26" s="27" t="str">
        <f t="shared" si="0"/>
        <v>''const char* mqtt_username ="' +value_mqttUser+'";'\n</v>
      </c>
    </row>
    <row r="27" spans="1:2">
      <c r="A27" s="23"/>
      <c r="B27" s="27" t="str">
        <f t="shared" si="0"/>
        <v/>
      </c>
    </row>
    <row r="28" spans="1:2">
      <c r="A28" s="25" t="s">
        <v>49</v>
      </c>
      <c r="B28" s="27" t="str">
        <f t="shared" si="0"/>
        <v>''const char* mqtt_password ="' +value_mqttPwd+'";'\n</v>
      </c>
    </row>
    <row r="29" spans="1:2">
      <c r="A29" s="23"/>
      <c r="B29" s="27" t="str">
        <f t="shared" si="0"/>
        <v/>
      </c>
    </row>
    <row r="30" spans="1:2">
      <c r="A30" s="25" t="s">
        <v>50</v>
      </c>
      <c r="B30" s="27" t="str">
        <f t="shared" si="0"/>
        <v>''const int mqtt_port =' +value_mqttPort+';'\n</v>
      </c>
    </row>
    <row r="31" spans="1:2">
      <c r="A31" s="23"/>
      <c r="B31" s="27" t="str">
        <f t="shared" si="0"/>
        <v/>
      </c>
    </row>
    <row r="32" spans="1:2">
      <c r="A32" s="23"/>
      <c r="B32" s="27" t="str">
        <f t="shared" si="0"/>
        <v/>
      </c>
    </row>
    <row r="33" spans="1:2">
      <c r="A33" s="23" t="s">
        <v>51</v>
      </c>
      <c r="B33" s="27" t="str">
        <f t="shared" si="0"/>
        <v>//Topic主題\n</v>
      </c>
    </row>
    <row r="34" spans="1:2">
      <c r="A34" s="23" t="s">
        <v>52</v>
      </c>
      <c r="B34" s="27" t="str">
        <f t="shared" si="0"/>
        <v>const char* TOPIC_MAP_SET = "imiRobot/map/set";\n</v>
      </c>
    </row>
    <row r="35" spans="1:2">
      <c r="A35" s="23" t="s">
        <v>53</v>
      </c>
      <c r="B35" s="27" t="str">
        <f t="shared" si="0"/>
        <v>const char* TOPIC_CAR_STANDBY = "imiRobot/car/standby";\n</v>
      </c>
    </row>
    <row r="36" spans="1:2">
      <c r="A36" s="23" t="s">
        <v>54</v>
      </c>
      <c r="B36" s="27" t="str">
        <f t="shared" si="0"/>
        <v>const char* TOPIC_CAR_GPS = "imiRobot/car/gps";\n</v>
      </c>
    </row>
    <row r="37" spans="1:2">
      <c r="A37" s="23" t="s">
        <v>55</v>
      </c>
      <c r="B37" s="27" t="str">
        <f t="shared" si="0"/>
        <v>const char* TOPIC_GOODS_LOAD = "imiRobot/goods/load";\n</v>
      </c>
    </row>
    <row r="38" spans="1:2">
      <c r="A38" s="23" t="s">
        <v>56</v>
      </c>
      <c r="B38" s="27" t="str">
        <f t="shared" si="0"/>
        <v>const char* TOPIC_CAR_LOWPOWER = "imiRobot/car/lowPower";\n</v>
      </c>
    </row>
    <row r="39" spans="1:2">
      <c r="A39" s="24"/>
      <c r="B39" s="27" t="str">
        <f t="shared" si="0"/>
        <v/>
      </c>
    </row>
    <row r="40" spans="1:2">
      <c r="A40" s="23" t="s">
        <v>57</v>
      </c>
      <c r="B40" s="27" t="str">
        <f t="shared" si="0"/>
        <v>//發佈者 傳送的消息內容\n</v>
      </c>
    </row>
    <row r="41" spans="1:2">
      <c r="A41" s="23" t="s">
        <v>58</v>
      </c>
      <c r="B41" s="27" t="str">
        <f t="shared" si="0"/>
        <v>char* mqttSendMsg = "";\n</v>
      </c>
    </row>
    <row r="42" spans="1:2">
      <c r="A42" s="23" t="s">
        <v>59</v>
      </c>
      <c r="B42" s="27" t="str">
        <f t="shared" si="0"/>
        <v>//訂閱者 接收的消息內容\n</v>
      </c>
    </row>
    <row r="43" spans="1:2">
      <c r="A43" s="23" t="s">
        <v>60</v>
      </c>
      <c r="B43" s="27" t="str">
        <f t="shared" si="0"/>
        <v>String mqttGetMsg = "";\n</v>
      </c>
    </row>
    <row r="44" spans="1:2">
      <c r="A44" s="23"/>
      <c r="B44" s="27" t="str">
        <f t="shared" si="0"/>
        <v/>
      </c>
    </row>
    <row r="45" spans="1:2">
      <c r="A45" s="23" t="s">
        <v>61</v>
      </c>
      <c r="B45" s="27" t="str">
        <f t="shared" si="0"/>
        <v>WiFiClientSecure espClient;\n</v>
      </c>
    </row>
    <row r="46" spans="1:2">
      <c r="A46" s="23" t="s">
        <v>62</v>
      </c>
      <c r="B46" s="27" t="str">
        <f t="shared" si="0"/>
        <v>PubSubClient client(espClient);\n</v>
      </c>
    </row>
    <row r="47" spans="1:2">
      <c r="A47" s="24"/>
      <c r="B47" s="27" t="str">
        <f t="shared" si="0"/>
        <v/>
      </c>
    </row>
    <row r="48" spans="1:2">
      <c r="A48" s="23" t="s">
        <v>63</v>
      </c>
      <c r="B48" s="27" t="str">
        <f t="shared" si="0"/>
        <v>// HiveMQ Cloud Let's Encrypt CA certificate\n</v>
      </c>
    </row>
    <row r="49" spans="1:2">
      <c r="A49" s="23" t="s">
        <v>64</v>
      </c>
      <c r="B49" s="27" t="str">
        <f t="shared" si="0"/>
        <v>static const char* root_ca PROGMEM = R"EOF(\n</v>
      </c>
    </row>
    <row r="50" spans="1:2">
      <c r="A50" s="23" t="s">
        <v>65</v>
      </c>
      <c r="B50" s="27" t="str">
        <f t="shared" si="0"/>
        <v>-----BEGIN CERTIFICATE-----\n</v>
      </c>
    </row>
    <row r="51" spans="1:2">
      <c r="A51" s="23" t="s">
        <v>66</v>
      </c>
      <c r="B51" s="27" t="str">
        <f t="shared" si="0"/>
        <v>MIIFazCCA1OgAwIBAgIRAIIQz7DSQONZRGPgu2OCiwAwDQYJKoZIhvcNAQELBQAw\n</v>
      </c>
    </row>
    <row r="52" spans="1:2">
      <c r="A52" s="23" t="s">
        <v>67</v>
      </c>
      <c r="B52" s="27" t="str">
        <f t="shared" si="0"/>
        <v>TzELMAkGA1UEBhMCVVMxKTAnBgNVBAoTIEludGVybmV0IFNlY3VyaXR5IFJlc2Vh\n</v>
      </c>
    </row>
    <row r="53" spans="1:2">
      <c r="A53" s="23" t="s">
        <v>68</v>
      </c>
      <c r="B53" s="27" t="str">
        <f t="shared" si="0"/>
        <v>cmNoIEdyb3VwMRUwEwYDVQQDEwxJU1JHIFJvb3QgWDEwHhcNMTUwNjA0MTEwNDM4\n</v>
      </c>
    </row>
    <row r="54" spans="1:2">
      <c r="A54" s="23" t="s">
        <v>69</v>
      </c>
      <c r="B54" s="27" t="str">
        <f t="shared" si="0"/>
        <v>WhcNMzUwNjA0MTEwNDM4WjBPMQswCQYDVQQGEwJVUzEpMCcGA1UEChMgSW50ZXJu\n</v>
      </c>
    </row>
    <row r="55" spans="1:2">
      <c r="A55" s="23" t="s">
        <v>70</v>
      </c>
      <c r="B55" s="27" t="str">
        <f t="shared" si="0"/>
        <v>ZXQgU2VjdXJpdHkgUmVzZWFyY2ggR3JvdXAxFTATBgNVBAMTDElTUkcgUm9vdCBY\n</v>
      </c>
    </row>
    <row r="56" spans="1:2">
      <c r="A56" s="23" t="s">
        <v>71</v>
      </c>
      <c r="B56" s="27" t="str">
        <f t="shared" si="0"/>
        <v>MTCCAiIwDQYJKoZIhvcNAQEBBQADggIPADCCAgoCggIBAK3oJHP0FDfzm54rVygc\n</v>
      </c>
    </row>
    <row r="57" spans="1:2">
      <c r="A57" s="23" t="s">
        <v>72</v>
      </c>
      <c r="B57" s="27" t="str">
        <f t="shared" si="0"/>
        <v>h77ct984kIxuPOZXoHj3dcKi/vVqbvYATyjb3miGbESTtrFj/RQSa78f0uoxmyF+\n</v>
      </c>
    </row>
    <row r="58" spans="1:2">
      <c r="A58" s="23" t="s">
        <v>73</v>
      </c>
      <c r="B58" s="27" t="str">
        <f t="shared" si="0"/>
        <v>0TM8ukj13Xnfs7j/EvEhmkvBioZxaUpmZmyPfjxwv60pIgbz5MDmgK7iS4+3mX6U\n</v>
      </c>
    </row>
    <row r="59" spans="1:2">
      <c r="A59" s="23" t="s">
        <v>74</v>
      </c>
      <c r="B59" s="27" t="str">
        <f t="shared" si="0"/>
        <v>A5/TR5d8mUgjU+g4rk8Kb4Mu0UlXjIB0ttov0DiNewNwIRt18jA8+o+u3dpjq+sW\n</v>
      </c>
    </row>
    <row r="60" spans="1:2">
      <c r="A60" s="23" t="s">
        <v>75</v>
      </c>
      <c r="B60" s="27" t="str">
        <f t="shared" si="0"/>
        <v>T8KOEUt+zwvo/7V3LvSye0rgTBIlDHCNAymg4VMk7BPZ7hm/ELNKjD+Jo2FR3qyH\n</v>
      </c>
    </row>
    <row r="61" spans="1:2">
      <c r="A61" s="23" t="s">
        <v>76</v>
      </c>
      <c r="B61" s="27" t="str">
        <f t="shared" si="0"/>
        <v>B5T0Y3HsLuJvW5iB4YlcNHlsdu87kGJ55tukmi8mxdAQ4Q7e2RCOFvu396j3x+UC\n</v>
      </c>
    </row>
    <row r="62" spans="1:2">
      <c r="A62" s="23" t="s">
        <v>77</v>
      </c>
      <c r="B62" s="27" t="str">
        <f t="shared" si="0"/>
        <v>B5iPNgiV5+I3lg02dZ77DnKxHZu8A/lJBdiB3QW0KtZB6awBdpUKD9jf1b0SHzUv\n</v>
      </c>
    </row>
    <row r="63" spans="1:2">
      <c r="A63" s="23" t="s">
        <v>78</v>
      </c>
      <c r="B63" s="27" t="str">
        <f t="shared" si="0"/>
        <v>KBds0pjBqAlkd25HN7rOrFleaJ1/ctaJxQZBKT5ZPt0m9STJEadao0xAH0ahmbWn\n</v>
      </c>
    </row>
    <row r="64" spans="1:2">
      <c r="A64" s="23" t="s">
        <v>79</v>
      </c>
      <c r="B64" s="27" t="str">
        <f t="shared" si="0"/>
        <v>OlFuhjuefXKnEgV4We0+UXgVCwOPjdAvBbI+e0ocS3MFEvzG6uBQE3xDk3SzynTn\n</v>
      </c>
    </row>
    <row r="65" spans="1:2">
      <c r="A65" s="23" t="s">
        <v>80</v>
      </c>
      <c r="B65" s="27" t="str">
        <f t="shared" si="0"/>
        <v>jh8BCNAw1FtxNrQHusEwMFxIt4I7mKZ9YIqioymCzLq9gwQbooMDQaHWBfEbwrbw\n</v>
      </c>
    </row>
    <row r="66" spans="1:2">
      <c r="A66" s="23" t="s">
        <v>81</v>
      </c>
      <c r="B66" s="27" t="str">
        <f t="shared" si="0"/>
        <v>qHyGO0aoSCqI3Haadr8faqU9GY/rOPNk3sgrDQoo//fb4hVC1CLQJ13hef4Y53CI\n</v>
      </c>
    </row>
    <row r="67" spans="1:2">
      <c r="A67" s="23" t="s">
        <v>82</v>
      </c>
      <c r="B67" s="27" t="str">
        <f t="shared" ref="B67:B88" si="1">IF(NOT(ISBLANK(A67)),A67&amp;"\n","")</f>
        <v>rU7m2Ys6xt0nUW7/vGT1M0NPAgMBAAGjQjBAMA4GA1UdDwEB/wQEAwIBBjAPBgNV\n</v>
      </c>
    </row>
    <row r="68" spans="1:2">
      <c r="A68" s="23" t="s">
        <v>83</v>
      </c>
      <c r="B68" s="27" t="str">
        <f t="shared" si="1"/>
        <v>HRMBAf8EBTADAQH/MB0GA1UdDgQWBBR5tFnme7bl5AFzgAiIyBpY9umbbjANBgkq\n</v>
      </c>
    </row>
    <row r="69" spans="1:2">
      <c r="A69" s="23" t="s">
        <v>84</v>
      </c>
      <c r="B69" s="27" t="str">
        <f t="shared" si="1"/>
        <v>hkiG9w0BAQsFAAOCAgEAVR9YqbyyqFDQDLHYGmkgJykIrGF1XIpu+ILlaS/V9lZL\n</v>
      </c>
    </row>
    <row r="70" spans="1:2">
      <c r="A70" s="23" t="s">
        <v>85</v>
      </c>
      <c r="B70" s="27" t="str">
        <f t="shared" si="1"/>
        <v>ubhzEFnTIZd+50xx+7LSYK05qAvqFyFWhfFQDlnrzuBZ6brJFe+GnY+EgPbk6ZGQ\n</v>
      </c>
    </row>
    <row r="71" spans="1:2">
      <c r="A71" s="23" t="s">
        <v>86</v>
      </c>
      <c r="B71" s="27" t="str">
        <f t="shared" si="1"/>
        <v>3BebYhtF8GaV0nxvwuo77x/Py9auJ/GpsMiu/X1+mvoiBOv/2X/qkSsisRcOj/KK\n</v>
      </c>
    </row>
    <row r="72" spans="1:2">
      <c r="A72" s="23" t="s">
        <v>87</v>
      </c>
      <c r="B72" s="27" t="str">
        <f t="shared" si="1"/>
        <v>NFtY2PwByVS5uCbMiogziUwthDyC3+6WVwW6LLv3xLfHTjuCvjHIInNzktHCgKQ5\n</v>
      </c>
    </row>
    <row r="73" spans="1:2">
      <c r="A73" s="23" t="s">
        <v>88</v>
      </c>
      <c r="B73" s="27" t="str">
        <f t="shared" si="1"/>
        <v>ORAzI4JMPJ+GslWYHb4phowim57iaztXOoJwTdwJx4nLCgdNbOhdjsnvzqvHu7Ur\n</v>
      </c>
    </row>
    <row r="74" spans="1:2">
      <c r="A74" s="23" t="s">
        <v>89</v>
      </c>
      <c r="B74" s="27" t="str">
        <f t="shared" si="1"/>
        <v>TkXWStAmzOVyyghqpZXjFaH3pO3JLF+l+/+sKAIuvtd7u+Nxe5AW0wdeRlN8NwdC\n</v>
      </c>
    </row>
    <row r="75" spans="1:2">
      <c r="A75" s="23" t="s">
        <v>90</v>
      </c>
      <c r="B75" s="27" t="str">
        <f t="shared" si="1"/>
        <v>jNPElpzVmbUq4JUagEiuTDkHzsxHpFKVK7q4+63SM1N95R1NbdWhscdCb+ZAJzVc\n</v>
      </c>
    </row>
    <row r="76" spans="1:2">
      <c r="A76" s="23" t="s">
        <v>91</v>
      </c>
      <c r="B76" s="27" t="str">
        <f t="shared" si="1"/>
        <v>oyi3B43njTOQ5yOf+1CceWxG1bQVs5ZufpsMljq4Ui0/1lvh+wjChP4kqKOJ2qxq\n</v>
      </c>
    </row>
    <row r="77" spans="1:2">
      <c r="A77" s="23" t="s">
        <v>92</v>
      </c>
      <c r="B77" s="27" t="str">
        <f t="shared" si="1"/>
        <v>4RgqsahDYVvTH9w7jXbyLeiNdd8XM2w9U/t7y0Ff/9yi0GE44Za4rF2LN9d11TPA\n</v>
      </c>
    </row>
    <row r="78" spans="1:2">
      <c r="A78" s="23" t="s">
        <v>93</v>
      </c>
      <c r="B78" s="27" t="str">
        <f t="shared" si="1"/>
        <v>mRGunUHBcnWEvgJBQl9nJEiU0Zsnvgc/ubhPgXRR4Xq37Z0j4r7g1SgEEzwxA57d\n</v>
      </c>
    </row>
    <row r="79" spans="1:2">
      <c r="A79" s="23" t="s">
        <v>94</v>
      </c>
      <c r="B79" s="27" t="str">
        <f t="shared" si="1"/>
        <v>emyPxgcYxn/eR44/KJ4EBs+lVDR3veyJm+kXQ99b21/+jh5Xos1AnX5iItreGCc=\n</v>
      </c>
    </row>
    <row r="80" spans="1:2">
      <c r="A80" s="23" t="s">
        <v>95</v>
      </c>
      <c r="B80" s="27" t="str">
        <f t="shared" si="1"/>
        <v>-----END CERTIFICATE-----\n</v>
      </c>
    </row>
    <row r="81" spans="1:2">
      <c r="A81" s="23" t="s">
        <v>96</v>
      </c>
      <c r="B81" s="27" t="str">
        <f t="shared" si="1"/>
        <v>)EOF";\n</v>
      </c>
    </row>
    <row r="82" spans="1:2">
      <c r="A82" s="23"/>
      <c r="B82" s="27" t="str">
        <f t="shared" si="1"/>
        <v/>
      </c>
    </row>
    <row r="83" spans="1:2">
      <c r="A83" s="23"/>
      <c r="B83" s="27" t="str">
        <f t="shared" si="1"/>
        <v/>
      </c>
    </row>
    <row r="84" spans="1:2">
      <c r="A84" s="23"/>
      <c r="B84" s="27" t="str">
        <f t="shared" si="1"/>
        <v/>
      </c>
    </row>
    <row r="85" spans="1:2">
      <c r="A85" s="23"/>
      <c r="B85" s="27" t="str">
        <f t="shared" si="1"/>
        <v/>
      </c>
    </row>
    <row r="86" spans="1:2">
      <c r="A86" s="23"/>
      <c r="B86" s="27" t="str">
        <f t="shared" si="1"/>
        <v/>
      </c>
    </row>
    <row r="87" spans="1:2">
      <c r="A87" s="23"/>
      <c r="B87" s="27" t="str">
        <f t="shared" si="1"/>
        <v/>
      </c>
    </row>
    <row r="88" spans="1:2">
      <c r="A88" s="23"/>
      <c r="B88" s="27" t="str">
        <f t="shared" si="1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88"/>
  <sheetViews>
    <sheetView workbookViewId="0">
      <selection activeCell="E15" sqref="E15"/>
    </sheetView>
  </sheetViews>
  <sheetFormatPr defaultRowHeight="16.2"/>
  <cols>
    <col min="1" max="1" width="38.21875" customWidth="1"/>
    <col min="2" max="2" width="21.6640625" customWidth="1"/>
    <col min="3" max="3" width="11.33203125" customWidth="1"/>
    <col min="5" max="5" width="32.88671875" customWidth="1"/>
    <col min="6" max="6" width="26.21875" customWidth="1"/>
  </cols>
  <sheetData>
    <row r="1" spans="1:6">
      <c r="A1" t="s">
        <v>15</v>
      </c>
      <c r="C1" t="s">
        <v>10</v>
      </c>
      <c r="D1" s="8" t="str">
        <f>"Blockly.Arduino.setups_['"&amp;D2&amp;"'] = '"&amp;D3&amp;"';"</f>
        <v>Blockly.Arduino.setups_['imi_esp32car_init'] = '  delay(500);\n  Serial.begin(9600);\n  delay(500);\n  MegaSerial.begin(9600);\n  delay(500);\n  setup_wifi();\n  //MQTT初始\n  espClient.setCACert(root_ca);\n  client.setServer(mqtt_server, mqtt_port);\n  client.setCallback(callback);\n  if (!client.connected()) {\n    reconnect();\n  }\n';</v>
      </c>
      <c r="E1" t="s">
        <v>1</v>
      </c>
      <c r="F1" s="7" t="str">
        <f>"Blockly.Arduino.setups_['"&amp;
變數!$A$2 &amp;"' + "&amp;
變數!B2 &amp;" + "&amp;
變數!B3 &amp;
"] = "&amp;
SETUP!F3 &amp; SETUP!F5
&amp;";"</f>
        <v>Blockly.Arduino.setups_['imi_esp32car_init' + value_rx + value_tx] = ++++++++++++++;</v>
      </c>
    </row>
    <row r="2" spans="1:6">
      <c r="A2" s="24" t="s">
        <v>128</v>
      </c>
      <c r="B2" s="28" t="str">
        <f>IF(NOT(ISBLANK(A2)),A2&amp;"\n","")</f>
        <v xml:space="preserve">  delay(500);\n</v>
      </c>
      <c r="C2" s="4" t="s">
        <v>9</v>
      </c>
      <c r="D2" s="5" t="str">
        <f>變數!$A$2</f>
        <v>imi_esp32car_init</v>
      </c>
      <c r="E2" s="14"/>
      <c r="F2" s="11"/>
    </row>
    <row r="3" spans="1:6">
      <c r="A3" s="23" t="s">
        <v>129</v>
      </c>
      <c r="B3" s="28" t="str">
        <f t="shared" ref="B3:B66" si="0">IF(NOT(ISBLANK(A3)),A3&amp;"\n","")</f>
        <v xml:space="preserve">  Serial.begin(9600);\n</v>
      </c>
      <c r="C3" s="5" t="s">
        <v>8</v>
      </c>
      <c r="D3" s="5" t="str">
        <f>B2&amp;B3&amp;B4&amp;B5&amp;B6&amp;B7&amp;B8&amp;B9&amp;B10&amp;B11&amp;B12&amp;B13&amp;B14&amp;B15&amp;B16&amp;B17&amp;B18&amp;B19&amp;B20&amp;B21&amp;B22&amp;B23&amp;B24&amp;B25&amp;B26&amp;B27&amp;B28&amp;B29&amp;B30&amp;B31&amp;B32&amp;B33&amp;B34&amp;B35&amp;B36&amp;B37&amp;B38&amp;B39&amp;B40&amp;B41&amp;B42&amp;B43&amp;B44&amp;B45&amp;B46&amp;B47&amp;B48&amp;B49&amp;B50&amp;B51&amp;B52&amp;B53&amp;B54&amp;B55&amp;B56&amp;B57&amp;B58&amp;B59&amp;B60&amp;B61&amp;B62&amp;B63&amp;B64&amp;B65&amp;B66&amp;B67&amp;B68&amp;B69&amp;B70&amp;B71&amp;B72&amp;B73&amp;B74&amp;B75&amp;B76&amp;B77&amp;B78&amp;B79&amp;B80&amp;B81&amp;B82&amp;B83&amp;B84&amp;B85&amp;B86&amp;B87&amp;B88</f>
        <v xml:space="preserve">  delay(500);\n  Serial.begin(9600);\n  delay(500);\n  MegaSerial.begin(9600);\n  delay(500);\n  setup_wifi();\n  //MQTT初始\n  espClient.setCACert(root_ca);\n  client.setServer(mqtt_server, mqtt_port);\n  client.setCallback(callback);\n  if (!client.connected()) {\n    reconnect();\n  }\n</v>
      </c>
      <c r="E3" s="9"/>
      <c r="F3" s="12" t="str">
        <f>F2&amp;"+"&amp;G2&amp;"+"&amp;H2&amp;"+"&amp;I2&amp;"+"&amp;J2&amp;"+"&amp;K2&amp;"+"&amp;L2&amp;"+"&amp;M2</f>
        <v>+++++++</v>
      </c>
    </row>
    <row r="4" spans="1:6">
      <c r="A4" s="23" t="s">
        <v>130</v>
      </c>
      <c r="B4" s="28" t="str">
        <f t="shared" si="0"/>
        <v xml:space="preserve">  delay(500);\n</v>
      </c>
      <c r="E4" s="1"/>
      <c r="F4" s="13"/>
    </row>
    <row r="5" spans="1:6">
      <c r="A5" s="23" t="s">
        <v>131</v>
      </c>
      <c r="B5" s="28" t="str">
        <f t="shared" si="0"/>
        <v xml:space="preserve">  MegaSerial.begin(9600);\n</v>
      </c>
      <c r="E5" s="9"/>
      <c r="F5" s="12" t="str">
        <f>F4&amp;"+"&amp;G4&amp;"+"&amp;H4&amp;"+"&amp;I4&amp;"+"&amp;J4&amp;"+"&amp;K4&amp;"+"&amp;L4&amp;"+"&amp;M4</f>
        <v>+++++++</v>
      </c>
    </row>
    <row r="6" spans="1:6">
      <c r="A6" s="23" t="s">
        <v>130</v>
      </c>
      <c r="B6" s="28" t="str">
        <f t="shared" si="0"/>
        <v xml:space="preserve">  delay(500);\n</v>
      </c>
      <c r="E6" s="10"/>
      <c r="F6" s="9"/>
    </row>
    <row r="7" spans="1:6">
      <c r="A7" s="23" t="s">
        <v>132</v>
      </c>
      <c r="B7" s="28" t="str">
        <f t="shared" si="0"/>
        <v xml:space="preserve">  setup_wifi();\n</v>
      </c>
      <c r="E7" s="9"/>
      <c r="F7" s="12" t="str">
        <f>F6&amp;"+"&amp;G6&amp;"+"&amp;H6&amp;"+"&amp;I6&amp;"+"&amp;J6&amp;"+"&amp;K6&amp;"+"&amp;L6&amp;"+"&amp;M6</f>
        <v>+++++++</v>
      </c>
    </row>
    <row r="8" spans="1:6">
      <c r="A8" s="24"/>
      <c r="B8" s="28" t="str">
        <f t="shared" si="0"/>
        <v/>
      </c>
      <c r="E8" s="10"/>
      <c r="F8" s="9"/>
    </row>
    <row r="9" spans="1:6">
      <c r="A9" s="24" t="s">
        <v>133</v>
      </c>
      <c r="B9" s="28" t="str">
        <f t="shared" si="0"/>
        <v xml:space="preserve">  //MQTT初始\n</v>
      </c>
      <c r="E9" s="9"/>
      <c r="F9" s="12" t="str">
        <f>F8&amp;"+"&amp;G8&amp;"+"&amp;H8&amp;"+"&amp;I8&amp;"+"&amp;J8&amp;"+"&amp;K8&amp;"+"&amp;L8&amp;"+"&amp;M8</f>
        <v>+++++++</v>
      </c>
    </row>
    <row r="10" spans="1:6">
      <c r="A10" s="23" t="s">
        <v>134</v>
      </c>
      <c r="B10" s="28" t="str">
        <f t="shared" si="0"/>
        <v xml:space="preserve">  espClient.setCACert(root_ca);\n</v>
      </c>
      <c r="E10" s="10"/>
      <c r="F10" s="9"/>
    </row>
    <row r="11" spans="1:6">
      <c r="A11" s="23" t="s">
        <v>135</v>
      </c>
      <c r="B11" s="28" t="str">
        <f t="shared" si="0"/>
        <v xml:space="preserve">  client.setServer(mqtt_server, mqtt_port);\n</v>
      </c>
      <c r="E11" s="9"/>
      <c r="F11" s="12" t="str">
        <f>F10&amp;"+"&amp;G10&amp;"+"&amp;H10&amp;"+"&amp;I10&amp;"+"&amp;J10&amp;"+"&amp;K10&amp;"+"&amp;L10&amp;"+"&amp;M10</f>
        <v>+++++++</v>
      </c>
    </row>
    <row r="12" spans="1:6">
      <c r="A12" s="23" t="s">
        <v>136</v>
      </c>
      <c r="B12" s="28" t="str">
        <f t="shared" si="0"/>
        <v xml:space="preserve">  client.setCallback(callback);\n</v>
      </c>
      <c r="E12" s="9"/>
      <c r="F12" s="9"/>
    </row>
    <row r="13" spans="1:6">
      <c r="A13" s="23" t="s">
        <v>137</v>
      </c>
      <c r="B13" s="28" t="str">
        <f t="shared" si="0"/>
        <v xml:space="preserve">  if (!client.connected()) {\n</v>
      </c>
      <c r="E13" s="9"/>
      <c r="F13" s="9"/>
    </row>
    <row r="14" spans="1:6">
      <c r="A14" s="23" t="s">
        <v>138</v>
      </c>
      <c r="B14" s="28" t="str">
        <f t="shared" si="0"/>
        <v xml:space="preserve">    reconnect();\n</v>
      </c>
      <c r="E14" s="9"/>
      <c r="F14" s="9"/>
    </row>
    <row r="15" spans="1:6">
      <c r="A15" s="23" t="s">
        <v>11</v>
      </c>
      <c r="B15" s="28" t="str">
        <f t="shared" si="0"/>
        <v xml:space="preserve">  }\n</v>
      </c>
      <c r="E15" s="9"/>
      <c r="F15" s="9"/>
    </row>
    <row r="16" spans="1:6">
      <c r="A16" s="3"/>
      <c r="B16" s="28" t="str">
        <f t="shared" si="0"/>
        <v/>
      </c>
      <c r="E16" s="9"/>
      <c r="F16" s="9"/>
    </row>
    <row r="17" spans="1:6">
      <c r="A17" s="3"/>
      <c r="B17" s="28" t="str">
        <f t="shared" si="0"/>
        <v/>
      </c>
      <c r="E17" s="9"/>
      <c r="F17" s="9"/>
    </row>
    <row r="18" spans="1:6">
      <c r="A18" s="3"/>
      <c r="B18" s="28" t="str">
        <f t="shared" si="0"/>
        <v/>
      </c>
      <c r="E18" s="9"/>
      <c r="F18" s="9"/>
    </row>
    <row r="19" spans="1:6">
      <c r="A19" s="3"/>
      <c r="B19" s="28" t="str">
        <f t="shared" si="0"/>
        <v/>
      </c>
      <c r="E19" s="9"/>
      <c r="F19" s="9"/>
    </row>
    <row r="20" spans="1:6">
      <c r="A20" s="3"/>
      <c r="B20" s="28" t="str">
        <f t="shared" si="0"/>
        <v/>
      </c>
      <c r="E20" s="9"/>
      <c r="F20" s="9"/>
    </row>
    <row r="21" spans="1:6">
      <c r="A21" s="3"/>
      <c r="B21" s="28" t="str">
        <f t="shared" si="0"/>
        <v/>
      </c>
      <c r="E21" s="9"/>
      <c r="F21" s="9"/>
    </row>
    <row r="22" spans="1:6">
      <c r="A22" s="3"/>
      <c r="B22" s="28" t="str">
        <f t="shared" si="0"/>
        <v/>
      </c>
      <c r="E22" s="9"/>
    </row>
    <row r="23" spans="1:6">
      <c r="A23" s="3"/>
      <c r="B23" s="28" t="str">
        <f t="shared" si="0"/>
        <v/>
      </c>
    </row>
    <row r="24" spans="1:6">
      <c r="A24" s="3"/>
      <c r="B24" s="28" t="str">
        <f t="shared" si="0"/>
        <v/>
      </c>
    </row>
    <row r="25" spans="1:6">
      <c r="A25" s="3"/>
      <c r="B25" s="28" t="str">
        <f t="shared" si="0"/>
        <v/>
      </c>
    </row>
    <row r="26" spans="1:6">
      <c r="A26" s="3"/>
      <c r="B26" s="28" t="str">
        <f t="shared" si="0"/>
        <v/>
      </c>
    </row>
    <row r="27" spans="1:6">
      <c r="A27" s="3"/>
      <c r="B27" s="28" t="str">
        <f t="shared" si="0"/>
        <v/>
      </c>
    </row>
    <row r="28" spans="1:6">
      <c r="A28" s="3"/>
      <c r="B28" s="28" t="str">
        <f t="shared" si="0"/>
        <v/>
      </c>
    </row>
    <row r="29" spans="1:6">
      <c r="A29" s="3"/>
      <c r="B29" s="28" t="str">
        <f t="shared" si="0"/>
        <v/>
      </c>
    </row>
    <row r="30" spans="1:6">
      <c r="A30" s="3"/>
      <c r="B30" s="28" t="str">
        <f t="shared" si="0"/>
        <v/>
      </c>
    </row>
    <row r="31" spans="1:6">
      <c r="A31" s="3"/>
      <c r="B31" s="28" t="str">
        <f t="shared" si="0"/>
        <v/>
      </c>
    </row>
    <row r="32" spans="1:6">
      <c r="A32" s="3"/>
      <c r="B32" s="28" t="str">
        <f t="shared" si="0"/>
        <v/>
      </c>
    </row>
    <row r="33" spans="1:2">
      <c r="A33" s="3"/>
      <c r="B33" s="28" t="str">
        <f t="shared" si="0"/>
        <v/>
      </c>
    </row>
    <row r="34" spans="1:2">
      <c r="A34" s="3"/>
      <c r="B34" s="28" t="str">
        <f t="shared" si="0"/>
        <v/>
      </c>
    </row>
    <row r="35" spans="1:2">
      <c r="A35" s="3"/>
      <c r="B35" s="28" t="str">
        <f t="shared" si="0"/>
        <v/>
      </c>
    </row>
    <row r="36" spans="1:2">
      <c r="A36" s="3"/>
      <c r="B36" s="28" t="str">
        <f t="shared" si="0"/>
        <v/>
      </c>
    </row>
    <row r="37" spans="1:2">
      <c r="A37" s="3"/>
      <c r="B37" s="28" t="str">
        <f t="shared" si="0"/>
        <v/>
      </c>
    </row>
    <row r="38" spans="1:2">
      <c r="A38" s="3"/>
      <c r="B38" s="28" t="str">
        <f t="shared" si="0"/>
        <v/>
      </c>
    </row>
    <row r="39" spans="1:2">
      <c r="A39" s="3"/>
      <c r="B39" s="28" t="str">
        <f t="shared" si="0"/>
        <v/>
      </c>
    </row>
    <row r="40" spans="1:2">
      <c r="A40" s="3"/>
      <c r="B40" s="28" t="str">
        <f t="shared" si="0"/>
        <v/>
      </c>
    </row>
    <row r="41" spans="1:2">
      <c r="A41" s="3"/>
      <c r="B41" s="28" t="str">
        <f t="shared" si="0"/>
        <v/>
      </c>
    </row>
    <row r="42" spans="1:2">
      <c r="A42" s="3"/>
      <c r="B42" s="28" t="str">
        <f t="shared" si="0"/>
        <v/>
      </c>
    </row>
    <row r="43" spans="1:2">
      <c r="A43" s="3"/>
      <c r="B43" s="28" t="str">
        <f t="shared" si="0"/>
        <v/>
      </c>
    </row>
    <row r="44" spans="1:2">
      <c r="A44" s="3"/>
      <c r="B44" s="28" t="str">
        <f t="shared" si="0"/>
        <v/>
      </c>
    </row>
    <row r="45" spans="1:2">
      <c r="A45" s="3"/>
      <c r="B45" s="28" t="str">
        <f t="shared" si="0"/>
        <v/>
      </c>
    </row>
    <row r="46" spans="1:2">
      <c r="A46" s="3"/>
      <c r="B46" s="28" t="str">
        <f t="shared" si="0"/>
        <v/>
      </c>
    </row>
    <row r="47" spans="1:2">
      <c r="A47" s="3"/>
      <c r="B47" s="28" t="str">
        <f t="shared" si="0"/>
        <v/>
      </c>
    </row>
    <row r="48" spans="1:2">
      <c r="A48" s="3"/>
      <c r="B48" s="28" t="str">
        <f t="shared" si="0"/>
        <v/>
      </c>
    </row>
    <row r="49" spans="1:2">
      <c r="A49" s="3"/>
      <c r="B49" s="28" t="str">
        <f t="shared" si="0"/>
        <v/>
      </c>
    </row>
    <row r="50" spans="1:2">
      <c r="A50" s="3"/>
      <c r="B50" s="28" t="str">
        <f t="shared" si="0"/>
        <v/>
      </c>
    </row>
    <row r="51" spans="1:2">
      <c r="A51" s="3"/>
      <c r="B51" s="28" t="str">
        <f t="shared" si="0"/>
        <v/>
      </c>
    </row>
    <row r="52" spans="1:2">
      <c r="A52" s="3"/>
      <c r="B52" s="28" t="str">
        <f t="shared" si="0"/>
        <v/>
      </c>
    </row>
    <row r="53" spans="1:2">
      <c r="A53" s="3"/>
      <c r="B53" s="28" t="str">
        <f t="shared" si="0"/>
        <v/>
      </c>
    </row>
    <row r="54" spans="1:2">
      <c r="A54" s="3"/>
      <c r="B54" s="28" t="str">
        <f t="shared" si="0"/>
        <v/>
      </c>
    </row>
    <row r="55" spans="1:2">
      <c r="A55" s="3"/>
      <c r="B55" s="28" t="str">
        <f t="shared" si="0"/>
        <v/>
      </c>
    </row>
    <row r="56" spans="1:2">
      <c r="A56" s="3"/>
      <c r="B56" s="28" t="str">
        <f t="shared" si="0"/>
        <v/>
      </c>
    </row>
    <row r="57" spans="1:2">
      <c r="A57" s="3"/>
      <c r="B57" s="28" t="str">
        <f t="shared" si="0"/>
        <v/>
      </c>
    </row>
    <row r="58" spans="1:2">
      <c r="A58" s="3"/>
      <c r="B58" s="28" t="str">
        <f t="shared" si="0"/>
        <v/>
      </c>
    </row>
    <row r="59" spans="1:2">
      <c r="A59" s="3"/>
      <c r="B59" s="28" t="str">
        <f t="shared" si="0"/>
        <v/>
      </c>
    </row>
    <row r="60" spans="1:2">
      <c r="A60" s="3"/>
      <c r="B60" s="28" t="str">
        <f t="shared" si="0"/>
        <v/>
      </c>
    </row>
    <row r="61" spans="1:2">
      <c r="A61" s="3"/>
      <c r="B61" s="28" t="str">
        <f t="shared" si="0"/>
        <v/>
      </c>
    </row>
    <row r="62" spans="1:2">
      <c r="A62" s="3"/>
      <c r="B62" s="28" t="str">
        <f t="shared" si="0"/>
        <v/>
      </c>
    </row>
    <row r="63" spans="1:2">
      <c r="A63" s="3"/>
      <c r="B63" s="28" t="str">
        <f t="shared" si="0"/>
        <v/>
      </c>
    </row>
    <row r="64" spans="1:2">
      <c r="A64" s="3"/>
      <c r="B64" s="28" t="str">
        <f t="shared" si="0"/>
        <v/>
      </c>
    </row>
    <row r="65" spans="1:2">
      <c r="A65" s="3"/>
      <c r="B65" s="28" t="str">
        <f t="shared" si="0"/>
        <v/>
      </c>
    </row>
    <row r="66" spans="1:2">
      <c r="A66" s="3"/>
      <c r="B66" s="28" t="str">
        <f t="shared" si="0"/>
        <v/>
      </c>
    </row>
    <row r="67" spans="1:2">
      <c r="A67" s="3"/>
      <c r="B67" s="28" t="str">
        <f t="shared" ref="B67:B88" si="1">IF(NOT(ISBLANK(A67)),A67&amp;"\n","")</f>
        <v/>
      </c>
    </row>
    <row r="68" spans="1:2">
      <c r="A68" s="3"/>
      <c r="B68" s="28" t="str">
        <f t="shared" si="1"/>
        <v/>
      </c>
    </row>
    <row r="69" spans="1:2">
      <c r="A69" s="3"/>
      <c r="B69" s="28" t="str">
        <f t="shared" si="1"/>
        <v/>
      </c>
    </row>
    <row r="70" spans="1:2">
      <c r="A70" s="3"/>
      <c r="B70" s="28" t="str">
        <f t="shared" si="1"/>
        <v/>
      </c>
    </row>
    <row r="71" spans="1:2">
      <c r="A71" s="3"/>
      <c r="B71" s="28" t="str">
        <f t="shared" si="1"/>
        <v/>
      </c>
    </row>
    <row r="72" spans="1:2">
      <c r="A72" s="3"/>
      <c r="B72" s="28" t="str">
        <f t="shared" si="1"/>
        <v/>
      </c>
    </row>
    <row r="73" spans="1:2">
      <c r="A73" s="3"/>
      <c r="B73" s="28" t="str">
        <f t="shared" si="1"/>
        <v/>
      </c>
    </row>
    <row r="74" spans="1:2">
      <c r="A74" s="3"/>
      <c r="B74" s="28" t="str">
        <f t="shared" si="1"/>
        <v/>
      </c>
    </row>
    <row r="75" spans="1:2">
      <c r="A75" s="3"/>
      <c r="B75" s="28" t="str">
        <f t="shared" si="1"/>
        <v/>
      </c>
    </row>
    <row r="76" spans="1:2">
      <c r="A76" s="3"/>
      <c r="B76" s="28" t="str">
        <f t="shared" si="1"/>
        <v/>
      </c>
    </row>
    <row r="77" spans="1:2">
      <c r="A77" s="3"/>
      <c r="B77" s="28" t="str">
        <f t="shared" si="1"/>
        <v/>
      </c>
    </row>
    <row r="78" spans="1:2">
      <c r="A78" s="3"/>
      <c r="B78" s="28" t="str">
        <f t="shared" si="1"/>
        <v/>
      </c>
    </row>
    <row r="79" spans="1:2">
      <c r="A79" s="3"/>
      <c r="B79" s="28" t="str">
        <f t="shared" si="1"/>
        <v/>
      </c>
    </row>
    <row r="80" spans="1:2">
      <c r="A80" s="3"/>
      <c r="B80" s="28" t="str">
        <f t="shared" si="1"/>
        <v/>
      </c>
    </row>
    <row r="81" spans="1:2">
      <c r="A81" s="3"/>
      <c r="B81" s="28" t="str">
        <f t="shared" si="1"/>
        <v/>
      </c>
    </row>
    <row r="82" spans="1:2">
      <c r="A82" s="3"/>
      <c r="B82" s="28" t="str">
        <f t="shared" si="1"/>
        <v/>
      </c>
    </row>
    <row r="83" spans="1:2">
      <c r="A83" s="3"/>
      <c r="B83" s="28" t="str">
        <f t="shared" si="1"/>
        <v/>
      </c>
    </row>
    <row r="84" spans="1:2">
      <c r="A84" s="3"/>
      <c r="B84" s="28" t="str">
        <f t="shared" si="1"/>
        <v/>
      </c>
    </row>
    <row r="85" spans="1:2">
      <c r="A85" s="3"/>
      <c r="B85" s="28" t="str">
        <f t="shared" si="1"/>
        <v/>
      </c>
    </row>
    <row r="86" spans="1:2">
      <c r="A86" s="3"/>
      <c r="B86" s="28" t="str">
        <f t="shared" si="1"/>
        <v/>
      </c>
    </row>
    <row r="87" spans="1:2">
      <c r="A87" s="3"/>
      <c r="B87" s="28" t="str">
        <f t="shared" si="1"/>
        <v/>
      </c>
    </row>
    <row r="88" spans="1:2">
      <c r="A88" s="3"/>
      <c r="B88" s="28" t="str">
        <f t="shared" si="1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2"/>
  <sheetViews>
    <sheetView workbookViewId="0">
      <selection activeCell="B1" sqref="B1"/>
    </sheetView>
  </sheetViews>
  <sheetFormatPr defaultRowHeight="16.2"/>
  <cols>
    <col min="1" max="1" width="32.88671875" customWidth="1"/>
    <col min="2" max="2" width="26.21875" customWidth="1"/>
  </cols>
  <sheetData>
    <row r="1" spans="1:4">
      <c r="A1" t="s">
        <v>16</v>
      </c>
      <c r="B1" s="7" t="str">
        <f>"Blockly.Arduino.setups_['"&amp;變數!$A$2&amp;"'] = "&amp;
'SETUP(1次會變動)'!B3 &amp; 'SETUP(1次會變動)'!B5
&amp;";"</f>
        <v>Blockly.Arduino.setups_['imi_esp32car_init'] = ''pinMode('+value_swpin+', INPUT_PULLUP);\n '++++++++++++;</v>
      </c>
    </row>
    <row r="2" spans="1:4">
      <c r="A2" s="15" t="s">
        <v>14</v>
      </c>
      <c r="B2" s="11" t="s">
        <v>17</v>
      </c>
      <c r="C2" t="s">
        <v>13</v>
      </c>
      <c r="D2" t="s">
        <v>18</v>
      </c>
    </row>
    <row r="3" spans="1:4">
      <c r="A3" s="9"/>
      <c r="B3" s="12" t="str">
        <f>B2&amp;"+"&amp;C2&amp;"+"&amp;D2&amp;"+"&amp;E2&amp;"+"&amp;F2&amp;"+"&amp;G2&amp;"+"&amp;H2&amp;"+"&amp;I2</f>
        <v>''pinMode('+value_swpin+', INPUT_PULLUP);\n '+++++</v>
      </c>
    </row>
    <row r="4" spans="1:4">
      <c r="A4" s="18"/>
      <c r="B4" s="13"/>
    </row>
    <row r="5" spans="1:4">
      <c r="A5" s="9"/>
      <c r="B5" s="12" t="str">
        <f>B4&amp;"+"&amp;C4&amp;"+"&amp;D4&amp;"+"&amp;E4&amp;"+"&amp;F4&amp;"+"&amp;G4&amp;"+"&amp;H4&amp;"+"&amp;I4</f>
        <v>+++++++</v>
      </c>
    </row>
    <row r="6" spans="1:4">
      <c r="A6" s="10"/>
      <c r="B6" s="9"/>
    </row>
    <row r="7" spans="1:4">
      <c r="A7" s="9"/>
      <c r="B7" s="12" t="str">
        <f>B6&amp;"+"&amp;C6&amp;"+"&amp;D6&amp;"+"&amp;E6&amp;"+"&amp;F6&amp;"+"&amp;G6&amp;"+"&amp;H6&amp;"+"&amp;I6</f>
        <v>+++++++</v>
      </c>
    </row>
    <row r="8" spans="1:4">
      <c r="A8" s="10"/>
      <c r="B8" s="9"/>
    </row>
    <row r="9" spans="1:4">
      <c r="A9" s="9"/>
      <c r="B9" s="12" t="str">
        <f>B8&amp;"+"&amp;C8&amp;"+"&amp;D8&amp;"+"&amp;E8&amp;"+"&amp;F8&amp;"+"&amp;G8&amp;"+"&amp;H8&amp;"+"&amp;I8</f>
        <v>+++++++</v>
      </c>
    </row>
    <row r="10" spans="1:4">
      <c r="A10" s="10"/>
      <c r="B10" s="9"/>
    </row>
    <row r="11" spans="1:4">
      <c r="A11" s="9"/>
      <c r="B11" s="12" t="str">
        <f>B10&amp;"+"&amp;C10&amp;"+"&amp;D10&amp;"+"&amp;E10&amp;"+"&amp;F10&amp;"+"&amp;G10&amp;"+"&amp;H10&amp;"+"&amp;I10</f>
        <v>+++++++</v>
      </c>
    </row>
    <row r="12" spans="1:4">
      <c r="A12" s="9"/>
      <c r="B12" s="9"/>
    </row>
    <row r="13" spans="1:4">
      <c r="A13" s="9"/>
      <c r="B13" s="9"/>
    </row>
    <row r="14" spans="1:4">
      <c r="A14" s="9"/>
      <c r="B14" s="9"/>
    </row>
    <row r="15" spans="1:4">
      <c r="A15" s="9"/>
      <c r="B15" s="9"/>
    </row>
    <row r="16" spans="1:4">
      <c r="A16" s="9"/>
      <c r="B16" s="9"/>
    </row>
    <row r="17" spans="1:2">
      <c r="A17" s="9"/>
      <c r="B17" s="9"/>
    </row>
    <row r="18" spans="1:2">
      <c r="A18" s="9"/>
      <c r="B18" s="9"/>
    </row>
    <row r="19" spans="1:2">
      <c r="A19" s="9"/>
      <c r="B19" s="9"/>
    </row>
    <row r="20" spans="1:2">
      <c r="A20" s="9"/>
      <c r="B20" s="9"/>
    </row>
    <row r="21" spans="1:2">
      <c r="A21" s="9"/>
      <c r="B21" s="9"/>
    </row>
    <row r="22" spans="1:2">
      <c r="A22" s="9"/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"/>
  <sheetViews>
    <sheetView workbookViewId="0">
      <selection activeCell="F9" sqref="F9"/>
    </sheetView>
  </sheetViews>
  <sheetFormatPr defaultRowHeight="16.2"/>
  <cols>
    <col min="1" max="1" width="64.21875" customWidth="1"/>
    <col min="2" max="2" width="23.77734375" customWidth="1"/>
    <col min="4" max="4" width="16.33203125" customWidth="1"/>
  </cols>
  <sheetData>
    <row r="1" spans="1:5">
      <c r="A1" t="s">
        <v>3</v>
      </c>
      <c r="C1" t="s">
        <v>10</v>
      </c>
      <c r="D1" s="8" t="str">
        <f>"Blockly.Arduino.functions_['"&amp;D2&amp;"'] = '"&amp;D3&amp;"';"</f>
        <v>Blockly.Arduino.functions_['imi_esp32car_init'] = 'void reconnect() {\n  while (!client.connected()) {\n    Serial.print("Attempting MQTT connection… ");\n    String clientId = "ESP32Client";\n    if (client.connect(clientId.c_str(), mqtt_username, mqtt_password)) {\n      Serial.println("connected!");\n    } else {\n      Serial.print("failed, rc = ");\n      Serial.print(client.state());\n      Serial.println(" try again in 5 seconds");\n      delay(5000);\n    }\n  }\n}\nvoid sendLineMsg(String myMsg) {\n  static WiFiClientSecure line_client;\n  line_client.setInsecure();\n  myMsg.replace("%", "%25");\n  myMsg.replace("&amp;", "%26");\n  myMsg.replace("§", "&amp;");\n  myMsg.replace("\\n", "\n");\n  if (line_client.connect("notify-api.line.me", 443)) {\n    line_client.println("POST /api/notify HTTP/1.1");\n    line_client.println("Connection: close");\n    line_client.println("Host: notify-api.line.me");\n    line_client.println("Authorization: Bearer " + lineToken);\n    line_client.println("Content-Type: application/x-www-form-urlencoded");\n    line_client.println("Content-Length: " + String(myMsg.length()));\n    line_client.println();\n    line_client.println(myMsg);\n    line_client.println();\n    line_client.stop();\n  } else {\n    Serial.println("Line Notify failed");\n  }\n}\n';</v>
      </c>
      <c r="E1" t="s">
        <v>4</v>
      </c>
    </row>
    <row r="2" spans="1:5">
      <c r="A2" s="23" t="s">
        <v>97</v>
      </c>
      <c r="B2" s="28" t="str">
        <f>IF(NOT(ISBLANK(A2)),A2&amp;"\n","")</f>
        <v>void reconnect() {\n</v>
      </c>
      <c r="C2" s="4" t="s">
        <v>9</v>
      </c>
      <c r="D2" s="5" t="str">
        <f>變數!$A$2</f>
        <v>imi_esp32car_init</v>
      </c>
    </row>
    <row r="3" spans="1:5">
      <c r="A3" s="23" t="s">
        <v>98</v>
      </c>
      <c r="B3" s="28" t="str">
        <f t="shared" ref="B3:B66" si="0">IF(NOT(ISBLANK(A3)),A3&amp;"\n","")</f>
        <v xml:space="preserve">  while (!client.connected()) {\n</v>
      </c>
      <c r="C3" s="5" t="s">
        <v>8</v>
      </c>
      <c r="D3" s="5" t="str">
        <f>B2&amp;B3&amp;B4&amp;B5&amp;B6&amp;B7&amp;B8&amp;B9&amp;B10&amp;B11&amp;B12&amp;B13&amp;B14&amp;B15&amp;B16&amp;B17&amp;B18&amp;B19&amp;B20&amp;B21&amp;B22&amp;B23&amp;B24&amp;B25&amp;B26&amp;B27&amp;B28&amp;B29&amp;B30&amp;B31&amp;B32&amp;B33&amp;B34&amp;B35&amp;B36&amp;B37&amp;B38&amp;B39&amp;B40&amp;B41&amp;B42&amp;B43&amp;B44&amp;B45&amp;B46&amp;B47&amp;B48&amp;B49&amp;B50&amp;B51&amp;B52&amp;B53&amp;B54&amp;B55&amp;B56&amp;B57&amp;B58&amp;B59&amp;B60&amp;B61&amp;B62&amp;B63&amp;B64&amp;B65&amp;B66&amp;B67&amp;B68&amp;B69&amp;B70&amp;B71&amp;B72&amp;B73&amp;B74&amp;B75&amp;B76&amp;B77&amp;B78&amp;B79&amp;B80&amp;B81&amp;B82&amp;B83&amp;B84&amp;B85&amp;B86&amp;B87&amp;B88</f>
        <v>void reconnect() {\n  while (!client.connected()) {\n    Serial.print("Attempting MQTT connection… ");\n    String clientId = "ESP32Client";\n    if (client.connect(clientId.c_str(), mqtt_username, mqtt_password)) {\n      Serial.println("connected!");\n    } else {\n      Serial.print("failed, rc = ");\n      Serial.print(client.state());\n      Serial.println(" try again in 5 seconds");\n      delay(5000);\n    }\n  }\n}\nvoid sendLineMsg(String myMsg) {\n  static WiFiClientSecure line_client;\n  line_client.setInsecure();\n  myMsg.replace("%", "%25");\n  myMsg.replace("&amp;", "%26");\n  myMsg.replace("§", "&amp;");\n  myMsg.replace("\\n", "\n");\n  if (line_client.connect("notify-api.line.me", 443)) {\n    line_client.println("POST /api/notify HTTP/1.1");\n    line_client.println("Connection: close");\n    line_client.println("Host: notify-api.line.me");\n    line_client.println("Authorization: Bearer " + lineToken);\n    line_client.println("Content-Type: application/x-www-form-urlencoded");\n    line_client.println("Content-Length: " + String(myMsg.length()));\n    line_client.println();\n    line_client.println(myMsg);\n    line_client.println();\n    line_client.stop();\n  } else {\n    Serial.println("Line Notify failed");\n  }\n}\n</v>
      </c>
    </row>
    <row r="4" spans="1:5">
      <c r="A4" s="23" t="s">
        <v>99</v>
      </c>
      <c r="B4" s="28" t="str">
        <f t="shared" si="0"/>
        <v xml:space="preserve">    Serial.print("Attempting MQTT connection… ");\n</v>
      </c>
    </row>
    <row r="5" spans="1:5">
      <c r="A5" s="23" t="s">
        <v>100</v>
      </c>
      <c r="B5" s="28" t="str">
        <f t="shared" si="0"/>
        <v xml:space="preserve">    String clientId = "ESP32Client";\n</v>
      </c>
    </row>
    <row r="6" spans="1:5">
      <c r="A6" s="23" t="s">
        <v>101</v>
      </c>
      <c r="B6" s="28" t="str">
        <f t="shared" si="0"/>
        <v xml:space="preserve">    if (client.connect(clientId.c_str(), mqtt_username, mqtt_password)) {\n</v>
      </c>
    </row>
    <row r="7" spans="1:5">
      <c r="A7" s="23" t="s">
        <v>102</v>
      </c>
      <c r="B7" s="28" t="str">
        <f t="shared" si="0"/>
        <v xml:space="preserve">      Serial.println("connected!");\n</v>
      </c>
    </row>
    <row r="8" spans="1:5">
      <c r="A8" s="23" t="s">
        <v>103</v>
      </c>
      <c r="B8" s="28" t="str">
        <f t="shared" si="0"/>
        <v xml:space="preserve">    } else {\n</v>
      </c>
    </row>
    <row r="9" spans="1:5">
      <c r="A9" s="23" t="s">
        <v>104</v>
      </c>
      <c r="B9" s="28" t="str">
        <f t="shared" si="0"/>
        <v xml:space="preserve">      Serial.print("failed, rc = ");\n</v>
      </c>
    </row>
    <row r="10" spans="1:5">
      <c r="A10" s="23" t="s">
        <v>105</v>
      </c>
      <c r="B10" s="28" t="str">
        <f t="shared" si="0"/>
        <v xml:space="preserve">      Serial.print(client.state());\n</v>
      </c>
    </row>
    <row r="11" spans="1:5">
      <c r="A11" s="23" t="s">
        <v>106</v>
      </c>
      <c r="B11" s="28" t="str">
        <f t="shared" si="0"/>
        <v xml:space="preserve">      Serial.println(" try again in 5 seconds");\n</v>
      </c>
    </row>
    <row r="12" spans="1:5">
      <c r="A12" s="23" t="s">
        <v>107</v>
      </c>
      <c r="B12" s="28" t="str">
        <f t="shared" si="0"/>
        <v xml:space="preserve">      delay(5000);\n</v>
      </c>
    </row>
    <row r="13" spans="1:5">
      <c r="A13" s="23" t="s">
        <v>108</v>
      </c>
      <c r="B13" s="28" t="str">
        <f t="shared" si="0"/>
        <v xml:space="preserve">    }\n</v>
      </c>
    </row>
    <row r="14" spans="1:5">
      <c r="A14" s="23" t="s">
        <v>11</v>
      </c>
      <c r="B14" s="28" t="str">
        <f t="shared" si="0"/>
        <v xml:space="preserve">  }\n</v>
      </c>
    </row>
    <row r="15" spans="1:5">
      <c r="A15" s="23" t="s">
        <v>12</v>
      </c>
      <c r="B15" s="28" t="str">
        <f t="shared" si="0"/>
        <v>}\n</v>
      </c>
    </row>
    <row r="16" spans="1:5">
      <c r="A16" s="24"/>
      <c r="B16" s="28" t="str">
        <f t="shared" si="0"/>
        <v/>
      </c>
    </row>
    <row r="17" spans="1:2">
      <c r="A17" s="23" t="s">
        <v>109</v>
      </c>
      <c r="B17" s="28" t="str">
        <f t="shared" si="0"/>
        <v>void sendLineMsg(String myMsg) {\n</v>
      </c>
    </row>
    <row r="18" spans="1:2">
      <c r="A18" s="23" t="s">
        <v>110</v>
      </c>
      <c r="B18" s="28" t="str">
        <f t="shared" si="0"/>
        <v xml:space="preserve">  static WiFiClientSecure line_client;\n</v>
      </c>
    </row>
    <row r="19" spans="1:2">
      <c r="A19" s="23" t="s">
        <v>111</v>
      </c>
      <c r="B19" s="28" t="str">
        <f t="shared" si="0"/>
        <v xml:space="preserve">  line_client.setInsecure();\n</v>
      </c>
    </row>
    <row r="20" spans="1:2">
      <c r="A20" s="23" t="s">
        <v>112</v>
      </c>
      <c r="B20" s="28" t="str">
        <f t="shared" si="0"/>
        <v xml:space="preserve">  myMsg.replace("%", "%25");\n</v>
      </c>
    </row>
    <row r="21" spans="1:2">
      <c r="A21" s="23" t="s">
        <v>113</v>
      </c>
      <c r="B21" s="28" t="str">
        <f t="shared" si="0"/>
        <v xml:space="preserve">  myMsg.replace("&amp;", "%26");\n</v>
      </c>
    </row>
    <row r="22" spans="1:2">
      <c r="A22" s="23" t="s">
        <v>114</v>
      </c>
      <c r="B22" s="28" t="str">
        <f t="shared" si="0"/>
        <v xml:space="preserve">  myMsg.replace("§", "&amp;");\n</v>
      </c>
    </row>
    <row r="23" spans="1:2">
      <c r="A23" s="23" t="s">
        <v>115</v>
      </c>
      <c r="B23" s="28" t="str">
        <f t="shared" si="0"/>
        <v xml:space="preserve">  myMsg.replace("\\n", "\n");\n</v>
      </c>
    </row>
    <row r="24" spans="1:2">
      <c r="A24" s="23" t="s">
        <v>116</v>
      </c>
      <c r="B24" s="28" t="str">
        <f t="shared" si="0"/>
        <v xml:space="preserve">  if (line_client.connect("notify-api.line.me", 443)) {\n</v>
      </c>
    </row>
    <row r="25" spans="1:2">
      <c r="A25" s="23" t="s">
        <v>117</v>
      </c>
      <c r="B25" s="28" t="str">
        <f t="shared" si="0"/>
        <v xml:space="preserve">    line_client.println("POST /api/notify HTTP/1.1");\n</v>
      </c>
    </row>
    <row r="26" spans="1:2">
      <c r="A26" s="23" t="s">
        <v>118</v>
      </c>
      <c r="B26" s="28" t="str">
        <f t="shared" si="0"/>
        <v xml:space="preserve">    line_client.println("Connection: close");\n</v>
      </c>
    </row>
    <row r="27" spans="1:2">
      <c r="A27" s="23" t="s">
        <v>119</v>
      </c>
      <c r="B27" s="28" t="str">
        <f t="shared" si="0"/>
        <v xml:space="preserve">    line_client.println("Host: notify-api.line.me");\n</v>
      </c>
    </row>
    <row r="28" spans="1:2">
      <c r="A28" s="23" t="s">
        <v>120</v>
      </c>
      <c r="B28" s="28" t="str">
        <f t="shared" si="0"/>
        <v xml:space="preserve">    line_client.println("Authorization: Bearer " + lineToken);\n</v>
      </c>
    </row>
    <row r="29" spans="1:2">
      <c r="A29" s="23" t="s">
        <v>121</v>
      </c>
      <c r="B29" s="28" t="str">
        <f t="shared" si="0"/>
        <v xml:space="preserve">    line_client.println("Content-Type: application/x-www-form-urlencoded");\n</v>
      </c>
    </row>
    <row r="30" spans="1:2">
      <c r="A30" s="23" t="s">
        <v>122</v>
      </c>
      <c r="B30" s="28" t="str">
        <f t="shared" si="0"/>
        <v xml:space="preserve">    line_client.println("Content-Length: " + String(myMsg.length()));\n</v>
      </c>
    </row>
    <row r="31" spans="1:2">
      <c r="A31" s="23" t="s">
        <v>123</v>
      </c>
      <c r="B31" s="28" t="str">
        <f t="shared" si="0"/>
        <v xml:space="preserve">    line_client.println();\n</v>
      </c>
    </row>
    <row r="32" spans="1:2">
      <c r="A32" s="23" t="s">
        <v>124</v>
      </c>
      <c r="B32" s="28" t="str">
        <f t="shared" si="0"/>
        <v xml:space="preserve">    line_client.println(myMsg);\n</v>
      </c>
    </row>
    <row r="33" spans="1:2">
      <c r="A33" s="23" t="s">
        <v>123</v>
      </c>
      <c r="B33" s="28" t="str">
        <f t="shared" si="0"/>
        <v xml:space="preserve">    line_client.println();\n</v>
      </c>
    </row>
    <row r="34" spans="1:2">
      <c r="A34" s="23" t="s">
        <v>125</v>
      </c>
      <c r="B34" s="28" t="str">
        <f t="shared" si="0"/>
        <v xml:space="preserve">    line_client.stop();\n</v>
      </c>
    </row>
    <row r="35" spans="1:2">
      <c r="A35" s="23" t="s">
        <v>126</v>
      </c>
      <c r="B35" s="28" t="str">
        <f t="shared" si="0"/>
        <v xml:space="preserve">  } else {\n</v>
      </c>
    </row>
    <row r="36" spans="1:2">
      <c r="A36" s="23" t="s">
        <v>127</v>
      </c>
      <c r="B36" s="28" t="str">
        <f t="shared" si="0"/>
        <v xml:space="preserve">    Serial.println("Line Notify failed");\n</v>
      </c>
    </row>
    <row r="37" spans="1:2">
      <c r="A37" s="23" t="s">
        <v>11</v>
      </c>
      <c r="B37" s="28" t="str">
        <f t="shared" si="0"/>
        <v xml:space="preserve">  }\n</v>
      </c>
    </row>
    <row r="38" spans="1:2">
      <c r="A38" s="23" t="s">
        <v>12</v>
      </c>
      <c r="B38" s="28" t="str">
        <f t="shared" si="0"/>
        <v>}\n</v>
      </c>
    </row>
    <row r="39" spans="1:2">
      <c r="A39" s="3"/>
      <c r="B39" s="28" t="str">
        <f t="shared" si="0"/>
        <v/>
      </c>
    </row>
    <row r="40" spans="1:2">
      <c r="A40" s="3"/>
      <c r="B40" s="28" t="str">
        <f t="shared" si="0"/>
        <v/>
      </c>
    </row>
    <row r="41" spans="1:2">
      <c r="A41" s="3"/>
      <c r="B41" s="28" t="str">
        <f t="shared" si="0"/>
        <v/>
      </c>
    </row>
    <row r="42" spans="1:2">
      <c r="A42" s="3"/>
      <c r="B42" s="28" t="str">
        <f t="shared" si="0"/>
        <v/>
      </c>
    </row>
    <row r="43" spans="1:2">
      <c r="A43" s="3"/>
      <c r="B43" s="28" t="str">
        <f t="shared" si="0"/>
        <v/>
      </c>
    </row>
    <row r="44" spans="1:2">
      <c r="A44" s="3"/>
      <c r="B44" s="28" t="str">
        <f t="shared" si="0"/>
        <v/>
      </c>
    </row>
    <row r="45" spans="1:2">
      <c r="A45" s="3"/>
      <c r="B45" s="28" t="str">
        <f t="shared" si="0"/>
        <v/>
      </c>
    </row>
    <row r="46" spans="1:2">
      <c r="A46" s="3"/>
      <c r="B46" s="28" t="str">
        <f t="shared" si="0"/>
        <v/>
      </c>
    </row>
    <row r="47" spans="1:2">
      <c r="A47" s="3"/>
      <c r="B47" s="28" t="str">
        <f t="shared" si="0"/>
        <v/>
      </c>
    </row>
    <row r="48" spans="1:2">
      <c r="A48" s="3"/>
      <c r="B48" s="28" t="str">
        <f t="shared" si="0"/>
        <v/>
      </c>
    </row>
    <row r="49" spans="1:2">
      <c r="A49" s="3"/>
      <c r="B49" s="28" t="str">
        <f t="shared" si="0"/>
        <v/>
      </c>
    </row>
    <row r="50" spans="1:2">
      <c r="A50" s="3"/>
      <c r="B50" s="28" t="str">
        <f t="shared" si="0"/>
        <v/>
      </c>
    </row>
    <row r="51" spans="1:2">
      <c r="A51" s="3"/>
      <c r="B51" s="28" t="str">
        <f t="shared" si="0"/>
        <v/>
      </c>
    </row>
    <row r="52" spans="1:2">
      <c r="A52" s="3"/>
      <c r="B52" s="28" t="str">
        <f t="shared" si="0"/>
        <v/>
      </c>
    </row>
    <row r="53" spans="1:2">
      <c r="A53" s="3"/>
      <c r="B53" s="28" t="str">
        <f t="shared" si="0"/>
        <v/>
      </c>
    </row>
    <row r="54" spans="1:2">
      <c r="A54" s="3"/>
      <c r="B54" s="28" t="str">
        <f t="shared" si="0"/>
        <v/>
      </c>
    </row>
    <row r="55" spans="1:2">
      <c r="A55" s="3"/>
      <c r="B55" s="28" t="str">
        <f t="shared" si="0"/>
        <v/>
      </c>
    </row>
    <row r="56" spans="1:2">
      <c r="A56" s="3"/>
      <c r="B56" s="28" t="str">
        <f t="shared" si="0"/>
        <v/>
      </c>
    </row>
    <row r="57" spans="1:2">
      <c r="A57" s="3"/>
      <c r="B57" s="28" t="str">
        <f t="shared" si="0"/>
        <v/>
      </c>
    </row>
    <row r="58" spans="1:2">
      <c r="A58" s="3"/>
      <c r="B58" s="28" t="str">
        <f t="shared" si="0"/>
        <v/>
      </c>
    </row>
    <row r="59" spans="1:2">
      <c r="A59" s="3"/>
      <c r="B59" s="28" t="str">
        <f t="shared" si="0"/>
        <v/>
      </c>
    </row>
    <row r="60" spans="1:2">
      <c r="A60" s="3"/>
      <c r="B60" s="28" t="str">
        <f t="shared" si="0"/>
        <v/>
      </c>
    </row>
    <row r="61" spans="1:2">
      <c r="A61" s="3"/>
      <c r="B61" s="28" t="str">
        <f t="shared" si="0"/>
        <v/>
      </c>
    </row>
    <row r="62" spans="1:2">
      <c r="A62" s="3"/>
      <c r="B62" s="28" t="str">
        <f t="shared" si="0"/>
        <v/>
      </c>
    </row>
    <row r="63" spans="1:2">
      <c r="A63" s="3"/>
      <c r="B63" s="28" t="str">
        <f t="shared" si="0"/>
        <v/>
      </c>
    </row>
    <row r="64" spans="1:2">
      <c r="A64" s="3"/>
      <c r="B64" s="28" t="str">
        <f t="shared" si="0"/>
        <v/>
      </c>
    </row>
    <row r="65" spans="1:2">
      <c r="A65" s="3"/>
      <c r="B65" s="28" t="str">
        <f t="shared" si="0"/>
        <v/>
      </c>
    </row>
    <row r="66" spans="1:2">
      <c r="A66" s="3"/>
      <c r="B66" s="28" t="str">
        <f t="shared" si="0"/>
        <v/>
      </c>
    </row>
    <row r="67" spans="1:2">
      <c r="A67" s="3"/>
      <c r="B67" s="28" t="str">
        <f t="shared" ref="B67:B88" si="1">IF(NOT(ISBLANK(A67)),A67&amp;"\n","")</f>
        <v/>
      </c>
    </row>
    <row r="68" spans="1:2">
      <c r="A68" s="3"/>
      <c r="B68" s="28" t="str">
        <f t="shared" si="1"/>
        <v/>
      </c>
    </row>
    <row r="69" spans="1:2">
      <c r="A69" s="3"/>
      <c r="B69" s="28" t="str">
        <f t="shared" si="1"/>
        <v/>
      </c>
    </row>
    <row r="70" spans="1:2">
      <c r="A70" s="3"/>
      <c r="B70" s="28" t="str">
        <f t="shared" si="1"/>
        <v/>
      </c>
    </row>
    <row r="71" spans="1:2">
      <c r="A71" s="3"/>
      <c r="B71" s="28" t="str">
        <f t="shared" si="1"/>
        <v/>
      </c>
    </row>
    <row r="72" spans="1:2">
      <c r="A72" s="3"/>
      <c r="B72" s="28" t="str">
        <f t="shared" si="1"/>
        <v/>
      </c>
    </row>
    <row r="73" spans="1:2">
      <c r="A73" s="3"/>
      <c r="B73" s="28" t="str">
        <f t="shared" si="1"/>
        <v/>
      </c>
    </row>
    <row r="74" spans="1:2">
      <c r="A74" s="3"/>
      <c r="B74" s="28" t="str">
        <f t="shared" si="1"/>
        <v/>
      </c>
    </row>
    <row r="75" spans="1:2">
      <c r="A75" s="3"/>
      <c r="B75" s="28" t="str">
        <f t="shared" si="1"/>
        <v/>
      </c>
    </row>
    <row r="76" spans="1:2">
      <c r="A76" s="3"/>
      <c r="B76" s="28" t="str">
        <f t="shared" si="1"/>
        <v/>
      </c>
    </row>
    <row r="77" spans="1:2">
      <c r="A77" s="3"/>
      <c r="B77" s="28" t="str">
        <f t="shared" si="1"/>
        <v/>
      </c>
    </row>
    <row r="78" spans="1:2">
      <c r="A78" s="3"/>
      <c r="B78" s="28" t="str">
        <f t="shared" si="1"/>
        <v/>
      </c>
    </row>
    <row r="79" spans="1:2">
      <c r="A79" s="3"/>
      <c r="B79" s="28" t="str">
        <f t="shared" si="1"/>
        <v/>
      </c>
    </row>
    <row r="80" spans="1:2">
      <c r="A80" s="3"/>
      <c r="B80" s="28" t="str">
        <f t="shared" si="1"/>
        <v/>
      </c>
    </row>
    <row r="81" spans="1:2">
      <c r="A81" s="3"/>
      <c r="B81" s="28" t="str">
        <f t="shared" si="1"/>
        <v/>
      </c>
    </row>
    <row r="82" spans="1:2">
      <c r="A82" s="3"/>
      <c r="B82" s="28" t="str">
        <f t="shared" si="1"/>
        <v/>
      </c>
    </row>
    <row r="83" spans="1:2">
      <c r="A83" s="3"/>
      <c r="B83" s="28" t="str">
        <f t="shared" si="1"/>
        <v/>
      </c>
    </row>
    <row r="84" spans="1:2">
      <c r="A84" s="3"/>
      <c r="B84" s="28" t="str">
        <f t="shared" si="1"/>
        <v/>
      </c>
    </row>
    <row r="85" spans="1:2">
      <c r="A85" s="3"/>
      <c r="B85" s="28" t="str">
        <f t="shared" si="1"/>
        <v/>
      </c>
    </row>
    <row r="86" spans="1:2">
      <c r="A86" s="3"/>
      <c r="B86" s="28" t="str">
        <f t="shared" si="1"/>
        <v/>
      </c>
    </row>
    <row r="87" spans="1:2">
      <c r="A87" s="3"/>
      <c r="B87" s="28" t="str">
        <f t="shared" si="1"/>
        <v/>
      </c>
    </row>
    <row r="88" spans="1:2">
      <c r="A88" s="3"/>
      <c r="B88" s="28" t="str">
        <f t="shared" si="1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4"/>
  <sheetViews>
    <sheetView tabSelected="1" workbookViewId="0">
      <selection activeCell="D10" sqref="D10"/>
    </sheetView>
  </sheetViews>
  <sheetFormatPr defaultRowHeight="16.2"/>
  <cols>
    <col min="1" max="1" width="69.5546875" customWidth="1"/>
    <col min="3" max="3" width="27" customWidth="1"/>
    <col min="4" max="4" width="42" customWidth="1"/>
  </cols>
  <sheetData>
    <row r="1" spans="1:9">
      <c r="A1" t="s">
        <v>139</v>
      </c>
      <c r="C1" t="s">
        <v>2</v>
      </c>
      <c r="D1" s="7" t="str">
        <f>"var code ="&amp;D3&amp;D5&amp;";"</f>
        <v>var code =''tm_display'+value_clk+ value_dio+'.showNumberDecEx('+value_num1+', 0x40, true, 2, 0); \n'++''tm_display'+value_clk +value_dio+'.showNumberDecEx('+value_num2+',  0, false,  2, 2); \n '++;</v>
      </c>
    </row>
    <row r="2" spans="1:9">
      <c r="C2" s="22" t="s">
        <v>140</v>
      </c>
      <c r="D2" s="11" t="s">
        <v>141</v>
      </c>
      <c r="E2" t="s">
        <v>142</v>
      </c>
      <c r="F2" t="s">
        <v>143</v>
      </c>
      <c r="G2" t="s">
        <v>144</v>
      </c>
      <c r="H2" t="s">
        <v>145</v>
      </c>
      <c r="I2" t="s">
        <v>146</v>
      </c>
    </row>
    <row r="3" spans="1:9">
      <c r="C3" s="9"/>
      <c r="D3" s="12" t="str">
        <f>D2&amp;"+"&amp;E2&amp;"+"&amp;F2&amp;"+"&amp;G2&amp;"+"&amp;H2&amp;"+"&amp;I2&amp;"+"&amp;J2&amp;"+"&amp;K2</f>
        <v>''tm_display'+value_clk+ value_dio+'.showNumberDecEx('+value_num1+', 0x40, true, 2, 0); \n'++</v>
      </c>
    </row>
    <row r="4" spans="1:9">
      <c r="C4" s="22" t="s">
        <v>147</v>
      </c>
      <c r="D4" s="13" t="s">
        <v>141</v>
      </c>
      <c r="E4" t="s">
        <v>148</v>
      </c>
      <c r="F4" t="s">
        <v>149</v>
      </c>
      <c r="G4" t="s">
        <v>144</v>
      </c>
      <c r="H4" t="s">
        <v>150</v>
      </c>
      <c r="I4" t="s">
        <v>151</v>
      </c>
    </row>
    <row r="5" spans="1:9">
      <c r="C5" s="9"/>
      <c r="D5" s="12" t="str">
        <f>D4&amp;"+"&amp;E4&amp;"+"&amp;F4&amp;"+"&amp;G4&amp;"+"&amp;H4&amp;"+"&amp;I4&amp;"+"&amp;J4&amp;"+"&amp;K4</f>
        <v>''tm_display'+value_clk +value_dio+'.showNumberDecEx('+value_num2+',  0, false,  2, 2); \n '++</v>
      </c>
    </row>
    <row r="6" spans="1:9">
      <c r="C6" s="10"/>
      <c r="D6" s="9"/>
    </row>
    <row r="7" spans="1:9">
      <c r="C7" s="9"/>
      <c r="D7" s="12" t="str">
        <f>D6&amp;"+"&amp;E6&amp;"+"&amp;F6&amp;"+"&amp;G6&amp;"+"&amp;H6&amp;"+"&amp;I6&amp;"+"&amp;J6&amp;"+"&amp;K6</f>
        <v>+++++++</v>
      </c>
    </row>
    <row r="8" spans="1:9">
      <c r="C8" s="10"/>
      <c r="D8" s="9"/>
    </row>
    <row r="9" spans="1:9">
      <c r="C9" s="9"/>
      <c r="D9" s="12" t="str">
        <f>D8&amp;"+"&amp;E8&amp;"+"&amp;F8&amp;"+"&amp;G8&amp;"+"&amp;H8&amp;"+"&amp;I8&amp;"+"&amp;J8&amp;"+"&amp;K8</f>
        <v>+++++++</v>
      </c>
    </row>
    <row r="10" spans="1:9">
      <c r="C10" s="10"/>
      <c r="D10" s="9"/>
    </row>
    <row r="11" spans="1:9">
      <c r="C11" s="9"/>
      <c r="D11" s="12" t="str">
        <f>D10&amp;"+"&amp;E10&amp;"+"&amp;F10&amp;"+"&amp;G10&amp;"+"&amp;H10&amp;"+"&amp;I10&amp;"+"&amp;J10&amp;"+"&amp;K10</f>
        <v>+++++++</v>
      </c>
    </row>
    <row r="12" spans="1:9">
      <c r="C12" s="9"/>
      <c r="D12" s="9"/>
    </row>
    <row r="13" spans="1:9">
      <c r="C13" s="9"/>
      <c r="D13" s="9"/>
    </row>
    <row r="14" spans="1:9">
      <c r="C14" s="9"/>
      <c r="D14" s="9"/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變數</vt:lpstr>
      <vt:lpstr>DEFINITION</vt:lpstr>
      <vt:lpstr>SETUP</vt:lpstr>
      <vt:lpstr>SETUP(1次會變動)</vt:lpstr>
      <vt:lpstr>FUNCTION</vt:lpstr>
      <vt:lpstr>LOOP_init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AMANI</dc:creator>
  <cp:lastModifiedBy>AMANI</cp:lastModifiedBy>
  <dcterms:created xsi:type="dcterms:W3CDTF">2023-05-06T03:44:48Z</dcterms:created>
  <dcterms:modified xsi:type="dcterms:W3CDTF">2023-12-11T12:18:28Z</dcterms:modified>
</cp:coreProperties>
</file>