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maker\ArduinoMaster\tools\myCustomBlockly\製作積木教學\iMi\完整ino程式依積木分割\"/>
    </mc:Choice>
  </mc:AlternateContent>
  <xr:revisionPtr revIDLastSave="0" documentId="13_ncr:1_{930054ED-0434-446F-80E9-931CB1127FD5}" xr6:coauthVersionLast="47" xr6:coauthVersionMax="47" xr10:uidLastSave="{00000000-0000-0000-0000-000000000000}"/>
  <bookViews>
    <workbookView xWindow="-120" yWindow="-120" windowWidth="15600" windowHeight="11160" tabRatio="769" activeTab="1" xr2:uid="{00000000-000D-0000-FFFF-FFFF00000000}"/>
  </bookViews>
  <sheets>
    <sheet name="變數" sheetId="5" r:id="rId1"/>
    <sheet name="DEFINITION" sheetId="1" r:id="rId2"/>
    <sheet name="SETUP" sheetId="2" r:id="rId3"/>
    <sheet name="Set_subMqtt" sheetId="15" r:id="rId4"/>
    <sheet name="SETUP(1次會變動)" sheetId="7" r:id="rId5"/>
    <sheet name="FUNCTION" sheetId="4" r:id="rId6"/>
    <sheet name="Func_getAr" sheetId="13" r:id="rId7"/>
    <sheet name="LOOP_init" sheetId="12" r:id="rId8"/>
    <sheet name="LOOP_init (2)" sheetId="14" r:id="rId9"/>
  </sheets>
  <definedNames>
    <definedName name="_xlnm._FilterDatabase" localSheetId="1" hidden="1">DEFINITION!$A$2:$M$3</definedName>
    <definedName name="_xlnm._FilterDatabase" localSheetId="7" hidden="1">LOOP_init!$D$1:$E$5</definedName>
    <definedName name="_xlnm._FilterDatabase" localSheetId="8" hidden="1">'LOOP_init (2)'!$D$1:$E$5</definedName>
    <definedName name="_xlnm._FilterDatabase" localSheetId="3" hidden="1">Set_subMqtt!$A$2:$M$3</definedName>
    <definedName name="_xlnm._FilterDatabase" localSheetId="2" hidden="1">SETUP!$A$2:$K$3</definedName>
    <definedName name="_xlnm._FilterDatabase" localSheetId="4" hidden="1">'SETUP(1次會變動)'!$A$2:$G$3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5" l="1"/>
  <c r="I4" i="15"/>
  <c r="I3" i="15"/>
  <c r="I2" i="15"/>
  <c r="D2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D3" i="15" s="1"/>
  <c r="D1" i="15" s="1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C1" i="14" s="1"/>
  <c r="B2" i="14"/>
  <c r="E1" i="14"/>
  <c r="H1" i="13"/>
  <c r="H2" i="13"/>
  <c r="H3" i="13"/>
  <c r="H4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3" i="13"/>
  <c r="D4" i="13"/>
  <c r="D5" i="13"/>
  <c r="D6" i="13"/>
  <c r="D7" i="13"/>
  <c r="D8" i="13"/>
  <c r="D9" i="13"/>
  <c r="D10" i="13"/>
  <c r="D2" i="13"/>
  <c r="H5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2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C1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2" i="12"/>
  <c r="E1" i="12" l="1"/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2" i="2"/>
  <c r="D3" i="2" s="1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2" i="4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3" i="1"/>
  <c r="B4" i="1"/>
  <c r="B5" i="1"/>
  <c r="B6" i="1"/>
  <c r="B7" i="1"/>
  <c r="B8" i="1"/>
  <c r="B9" i="1"/>
  <c r="B10" i="1"/>
  <c r="B11" i="1"/>
  <c r="B2" i="1"/>
  <c r="D3" i="4" l="1"/>
  <c r="D3" i="1"/>
  <c r="B11" i="7"/>
  <c r="B9" i="7"/>
  <c r="B7" i="7"/>
  <c r="B5" i="7"/>
  <c r="B3" i="7"/>
  <c r="B1" i="7" l="1"/>
  <c r="D2" i="4"/>
  <c r="D1" i="4" l="1"/>
  <c r="D2" i="2" l="1"/>
  <c r="D1" i="2" l="1"/>
  <c r="F11" i="2" l="1"/>
  <c r="F9" i="2"/>
  <c r="F7" i="2"/>
  <c r="F5" i="2"/>
  <c r="F3" i="2"/>
  <c r="D2" i="1"/>
  <c r="F1" i="1" l="1"/>
  <c r="D1" i="1"/>
  <c r="F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AMANI</author>
  </authors>
  <commentList>
    <comment ref="E2" authorId="0" shapeId="0" xr:uid="{00000000-0006-0000-0100-000001000000}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AMANI</author>
  </authors>
  <commentList>
    <comment ref="E2" authorId="0" shapeId="0" xr:uid="{00000000-0006-0000-0200-000001000000}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4" authorId="0" shapeId="0" xr:uid="{904D5DE0-2606-4607-8589-4C8F34B8C589}">
      <text>
        <r>
          <rPr>
            <b/>
            <sz val="9"/>
            <color indexed="81"/>
            <rFont val="細明體"/>
            <family val="3"/>
            <charset val="136"/>
          </rPr>
          <t>做為setups_[blockly名稱+變數n名稱]唯一識別用。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AMANI</author>
  </authors>
  <commentList>
    <comment ref="A2" authorId="0" shapeId="0" xr:uid="{00000000-0006-0000-0300-000001000000}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AMANI</author>
  </authors>
  <commentList>
    <comment ref="D2" authorId="0" shapeId="0" xr:uid="{00000000-0006-0000-0500-000001000000}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AMANI</author>
  </authors>
  <commentList>
    <comment ref="D2" authorId="0" shapeId="0" xr:uid="{7EE57318-D37C-437E-9952-99D6B9EDCE80}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sharedStrings.xml><?xml version="1.0" encoding="utf-8"?>
<sst xmlns="http://schemas.openxmlformats.org/spreadsheetml/2006/main" count="213" uniqueCount="183">
  <si>
    <t>DEFINITION區 連N拉N</t>
    <phoneticPr fontId="2" type="noConversion"/>
  </si>
  <si>
    <t>SETUP區 連N拉N</t>
    <phoneticPr fontId="2" type="noConversion"/>
  </si>
  <si>
    <t>LOOP區 連N拉N</t>
    <phoneticPr fontId="2" type="noConversion"/>
  </si>
  <si>
    <t>FUNCTION區 1次</t>
    <phoneticPr fontId="2" type="noConversion"/>
  </si>
  <si>
    <t>FUNCTION區 連N拉N</t>
    <phoneticPr fontId="2" type="noConversion"/>
  </si>
  <si>
    <t>變數</t>
    <phoneticPr fontId="2" type="noConversion"/>
  </si>
  <si>
    <t>blocky名稱</t>
    <phoneticPr fontId="2" type="noConversion"/>
  </si>
  <si>
    <t>DEFINITION區 1次</t>
    <phoneticPr fontId="2" type="noConversion"/>
  </si>
  <si>
    <t>【DEFINITION區程式碼】</t>
  </si>
  <si>
    <t>【blockly名稱】</t>
  </si>
  <si>
    <t>完整程式碼：</t>
    <phoneticPr fontId="2" type="noConversion"/>
  </si>
  <si>
    <t xml:space="preserve">  }</t>
  </si>
  <si>
    <t>}</t>
  </si>
  <si>
    <t>value_swpin</t>
  </si>
  <si>
    <r>
      <t>''pinMode('</t>
    </r>
    <r>
      <rPr>
        <sz val="12"/>
        <color theme="1"/>
        <rFont val="新細明體"/>
        <family val="1"/>
        <charset val="136"/>
        <scheme val="minor"/>
      </rPr>
      <t>●</t>
    </r>
    <r>
      <rPr>
        <sz val="12"/>
        <color rgb="FFFF0000"/>
        <rFont val="Calibri"/>
        <family val="2"/>
      </rPr>
      <t>value_swpin</t>
    </r>
    <r>
      <rPr>
        <sz val="12"/>
        <color theme="1"/>
        <rFont val="新細明體"/>
        <family val="1"/>
        <charset val="136"/>
        <scheme val="minor"/>
      </rPr>
      <t>●</t>
    </r>
    <r>
      <rPr>
        <sz val="12"/>
        <color rgb="FFC45911"/>
        <rFont val="Calibri"/>
        <family val="2"/>
      </rPr>
      <t>', INPUT_PULLUP);\n '</t>
    </r>
  </si>
  <si>
    <t>SETUP區 1次(程式碼固定不變動)</t>
    <phoneticPr fontId="2" type="noConversion"/>
  </si>
  <si>
    <t>SETUP區 1次(程式碼會變動)</t>
    <phoneticPr fontId="2" type="noConversion"/>
  </si>
  <si>
    <t>''pinMode('</t>
  </si>
  <si>
    <t>', INPUT_PULLUP);\n '</t>
  </si>
  <si>
    <t>imi_esp32car_init</t>
    <phoneticPr fontId="2" type="noConversion"/>
  </si>
  <si>
    <t>value_rx</t>
  </si>
  <si>
    <t>value_tx</t>
  </si>
  <si>
    <t>value_ssid</t>
  </si>
  <si>
    <t>value_wifiPwd</t>
  </si>
  <si>
    <t>value_lineToken</t>
  </si>
  <si>
    <t>value_mqttUser</t>
  </si>
  <si>
    <t>value_mqttPwd</t>
  </si>
  <si>
    <t xml:space="preserve">value_mqttPort </t>
  </si>
  <si>
    <t>dropdown_mqttTopic</t>
  </si>
  <si>
    <t>dropdown_uartTopic</t>
  </si>
  <si>
    <t>#include &lt;SoftwareSerial.h&gt;</t>
  </si>
  <si>
    <t>#include &lt;WiFi.h&gt;</t>
  </si>
  <si>
    <t>#include &lt;PubSubClient.h&gt;</t>
  </si>
  <si>
    <t>#include &lt;WiFiClientSecure.h&gt;</t>
  </si>
  <si>
    <t>const char* MAP_SET = "mapSet";</t>
  </si>
  <si>
    <t>const char* GOODS_LOAD = "goodsLoad";</t>
  </si>
  <si>
    <t>const char* LINE_NOTIFY = "lineNotify";</t>
  </si>
  <si>
    <t>const char* CAR_GPS = "carGps";</t>
  </si>
  <si>
    <r>
      <t>//Topic</t>
    </r>
    <r>
      <rPr>
        <sz val="9"/>
        <color rgb="FFED7D31"/>
        <rFont val="新細明體"/>
        <family val="1"/>
        <charset val="136"/>
      </rPr>
      <t>主題</t>
    </r>
  </si>
  <si>
    <t>const char* TOPIC_MAP_SET = "imiRobot/map/set";</t>
  </si>
  <si>
    <t>const char* TOPIC_CAR_STANDBY = "imiRobot/car/standby";</t>
  </si>
  <si>
    <t>const char* TOPIC_CAR_GPS = "imiRobot/car/gps";</t>
  </si>
  <si>
    <t>const char* TOPIC_GOODS_LOAD = "imiRobot/goods/load";</t>
  </si>
  <si>
    <t>const char* TOPIC_CAR_LOWPOWER = "imiRobot/car/lowPower";</t>
  </si>
  <si>
    <r>
      <t>//</t>
    </r>
    <r>
      <rPr>
        <sz val="9"/>
        <color rgb="FFED7D31"/>
        <rFont val="新細明體"/>
        <family val="1"/>
        <charset val="136"/>
      </rPr>
      <t>發佈者</t>
    </r>
    <r>
      <rPr>
        <sz val="9"/>
        <color rgb="FFED7D31"/>
        <rFont val="Calibri"/>
        <family val="2"/>
      </rPr>
      <t xml:space="preserve"> </t>
    </r>
    <r>
      <rPr>
        <sz val="9"/>
        <color rgb="FFED7D31"/>
        <rFont val="新細明體"/>
        <family val="1"/>
        <charset val="136"/>
      </rPr>
      <t>傳送的消息內容</t>
    </r>
  </si>
  <si>
    <t>char* mqttSendMsg = "";</t>
  </si>
  <si>
    <r>
      <t>//</t>
    </r>
    <r>
      <rPr>
        <sz val="9"/>
        <color rgb="FFED7D31"/>
        <rFont val="新細明體"/>
        <family val="1"/>
        <charset val="136"/>
      </rPr>
      <t>訂閱者</t>
    </r>
    <r>
      <rPr>
        <sz val="9"/>
        <color rgb="FFED7D31"/>
        <rFont val="Calibri"/>
        <family val="2"/>
      </rPr>
      <t xml:space="preserve"> </t>
    </r>
    <r>
      <rPr>
        <sz val="9"/>
        <color rgb="FFED7D31"/>
        <rFont val="新細明體"/>
        <family val="1"/>
        <charset val="136"/>
      </rPr>
      <t>接收的消息內容</t>
    </r>
  </si>
  <si>
    <t>String mqttGetMsg = "";</t>
  </si>
  <si>
    <t>WiFiClientSecure espClient;</t>
  </si>
  <si>
    <t>PubSubClient client(espClient);</t>
  </si>
  <si>
    <t>// HiveMQ Cloud Let's Encrypt CA certificate</t>
  </si>
  <si>
    <t>static const char* root_ca PROGMEM = R"EOF(</t>
  </si>
  <si>
    <t>-----BEGIN CERTIFICATE-----</t>
  </si>
  <si>
    <t>MIIFazCCA1OgAwIBAgIRAIIQz7DSQONZRGPgu2OCiwAwDQYJKoZIhvcNAQELBQAw</t>
  </si>
  <si>
    <t>TzELMAkGA1UEBhMCVVMxKTAnBgNVBAoTIEludGVybmV0IFNlY3VyaXR5IFJlc2Vh</t>
  </si>
  <si>
    <t>cmNoIEdyb3VwMRUwEwYDVQQDEwxJU1JHIFJvb3QgWDEwHhcNMTUwNjA0MTEwNDM4</t>
  </si>
  <si>
    <t>WhcNMzUwNjA0MTEwNDM4WjBPMQswCQYDVQQGEwJVUzEpMCcGA1UEChMgSW50ZXJu</t>
  </si>
  <si>
    <t>ZXQgU2VjdXJpdHkgUmVzZWFyY2ggR3JvdXAxFTATBgNVBAMTDElTUkcgUm9vdCBY</t>
  </si>
  <si>
    <t>MTCCAiIwDQYJKoZIhvcNAQEBBQADggIPADCCAgoCggIBAK3oJHP0FDfzm54rVygc</t>
  </si>
  <si>
    <t>h77ct984kIxuPOZXoHj3dcKi/vVqbvYATyjb3miGbESTtrFj/RQSa78f0uoxmyF+</t>
  </si>
  <si>
    <t>0TM8ukj13Xnfs7j/EvEhmkvBioZxaUpmZmyPfjxwv60pIgbz5MDmgK7iS4+3mX6U</t>
  </si>
  <si>
    <t>A5/TR5d8mUgjU+g4rk8Kb4Mu0UlXjIB0ttov0DiNewNwIRt18jA8+o+u3dpjq+sW</t>
  </si>
  <si>
    <t>T8KOEUt+zwvo/7V3LvSye0rgTBIlDHCNAymg4VMk7BPZ7hm/ELNKjD+Jo2FR3qyH</t>
  </si>
  <si>
    <t>B5T0Y3HsLuJvW5iB4YlcNHlsdu87kGJ55tukmi8mxdAQ4Q7e2RCOFvu396j3x+UC</t>
  </si>
  <si>
    <t>B5iPNgiV5+I3lg02dZ77DnKxHZu8A/lJBdiB3QW0KtZB6awBdpUKD9jf1b0SHzUv</t>
  </si>
  <si>
    <t>KBds0pjBqAlkd25HN7rOrFleaJ1/ctaJxQZBKT5ZPt0m9STJEadao0xAH0ahmbWn</t>
  </si>
  <si>
    <t>OlFuhjuefXKnEgV4We0+UXgVCwOPjdAvBbI+e0ocS3MFEvzG6uBQE3xDk3SzynTn</t>
  </si>
  <si>
    <t>jh8BCNAw1FtxNrQHusEwMFxIt4I7mKZ9YIqioymCzLq9gwQbooMDQaHWBfEbwrbw</t>
  </si>
  <si>
    <t>qHyGO0aoSCqI3Haadr8faqU9GY/rOPNk3sgrDQoo//fb4hVC1CLQJ13hef4Y53CI</t>
  </si>
  <si>
    <t>rU7m2Ys6xt0nUW7/vGT1M0NPAgMBAAGjQjBAMA4GA1UdDwEB/wQEAwIBBjAPBgNV</t>
  </si>
  <si>
    <t>HRMBAf8EBTADAQH/MB0GA1UdDgQWBBR5tFnme7bl5AFzgAiIyBpY9umbbjANBgkq</t>
  </si>
  <si>
    <t>hkiG9w0BAQsFAAOCAgEAVR9YqbyyqFDQDLHYGmkgJykIrGF1XIpu+ILlaS/V9lZL</t>
  </si>
  <si>
    <t>ubhzEFnTIZd+50xx+7LSYK05qAvqFyFWhfFQDlnrzuBZ6brJFe+GnY+EgPbk6ZGQ</t>
  </si>
  <si>
    <t>3BebYhtF8GaV0nxvwuo77x/Py9auJ/GpsMiu/X1+mvoiBOv/2X/qkSsisRcOj/KK</t>
  </si>
  <si>
    <t>NFtY2PwByVS5uCbMiogziUwthDyC3+6WVwW6LLv3xLfHTjuCvjHIInNzktHCgKQ5</t>
  </si>
  <si>
    <t>ORAzI4JMPJ+GslWYHb4phowim57iaztXOoJwTdwJx4nLCgdNbOhdjsnvzqvHu7Ur</t>
  </si>
  <si>
    <t>TkXWStAmzOVyyghqpZXjFaH3pO3JLF+l+/+sKAIuvtd7u+Nxe5AW0wdeRlN8NwdC</t>
  </si>
  <si>
    <t>jNPElpzVmbUq4JUagEiuTDkHzsxHpFKVK7q4+63SM1N95R1NbdWhscdCb+ZAJzVc</t>
  </si>
  <si>
    <t>oyi3B43njTOQ5yOf+1CceWxG1bQVs5ZufpsMljq4Ui0/1lvh+wjChP4kqKOJ2qxq</t>
  </si>
  <si>
    <t>4RgqsahDYVvTH9w7jXbyLeiNdd8XM2w9U/t7y0Ff/9yi0GE44Za4rF2LN9d11TPA</t>
  </si>
  <si>
    <t>mRGunUHBcnWEvgJBQl9nJEiU0Zsnvgc/ubhPgXRR4Xq37Z0j4r7g1SgEEzwxA57d</t>
  </si>
  <si>
    <t>emyPxgcYxn/eR44/KJ4EBs+lVDR3veyJm+kXQ99b21/+jh5Xos1AnX5iItreGCc=</t>
  </si>
  <si>
    <t>-----END CERTIFICATE-----</t>
  </si>
  <si>
    <t>)EOF";</t>
  </si>
  <si>
    <t>void reconnect() {</t>
  </si>
  <si>
    <t xml:space="preserve">  while (!client.connected()) {</t>
  </si>
  <si>
    <t xml:space="preserve">    Serial.print("Attempting MQTT connection… ");</t>
  </si>
  <si>
    <t xml:space="preserve">    String clientId = "ESP32Client";</t>
  </si>
  <si>
    <t xml:space="preserve">    if (client.connect(clientId.c_str(), mqtt_username, mqtt_password)) {</t>
  </si>
  <si>
    <t xml:space="preserve">      Serial.println("connected!");</t>
  </si>
  <si>
    <t xml:space="preserve">    } else {</t>
  </si>
  <si>
    <t xml:space="preserve">      Serial.print("failed, rc = ");</t>
  </si>
  <si>
    <t xml:space="preserve">      Serial.print(client.state());</t>
  </si>
  <si>
    <t xml:space="preserve">      Serial.println(" try again in 5 seconds");</t>
  </si>
  <si>
    <t xml:space="preserve">      delay(5000);</t>
  </si>
  <si>
    <t xml:space="preserve">    }</t>
  </si>
  <si>
    <t>void sendLineMsg(String myMsg) {</t>
  </si>
  <si>
    <t xml:space="preserve">  static WiFiClientSecure line_client;</t>
  </si>
  <si>
    <t xml:space="preserve">  line_client.setInsecure();</t>
  </si>
  <si>
    <t xml:space="preserve">  myMsg.replace("%", "%25");</t>
  </si>
  <si>
    <t xml:space="preserve">  myMsg.replace("&amp;", "%26");</t>
  </si>
  <si>
    <t xml:space="preserve">  myMsg.replace("§", "&amp;");</t>
  </si>
  <si>
    <t xml:space="preserve">  myMsg.replace("\\n", "\n");</t>
  </si>
  <si>
    <t xml:space="preserve">  if (line_client.connect("notify-api.line.me", 443)) {</t>
  </si>
  <si>
    <t xml:space="preserve">    line_client.println("POST /api/notify HTTP/1.1");</t>
  </si>
  <si>
    <t xml:space="preserve">    line_client.println("Connection: close");</t>
  </si>
  <si>
    <t xml:space="preserve">    line_client.println("Host: notify-api.line.me");</t>
  </si>
  <si>
    <t xml:space="preserve">    line_client.println("Authorization: Bearer " + lineToken);</t>
  </si>
  <si>
    <t xml:space="preserve">    line_client.println("Content-Type: application/x-www-form-urlencoded");</t>
  </si>
  <si>
    <t xml:space="preserve">    line_client.println("Content-Length: " + String(myMsg.length()));</t>
  </si>
  <si>
    <t xml:space="preserve">    line_client.println();</t>
  </si>
  <si>
    <t xml:space="preserve">    line_client.println(myMsg);</t>
  </si>
  <si>
    <t xml:space="preserve">    line_client.stop();</t>
  </si>
  <si>
    <t xml:space="preserve">  } else {</t>
  </si>
  <si>
    <t xml:space="preserve">    Serial.println("Line Notify failed");</t>
  </si>
  <si>
    <r>
      <t xml:space="preserve">  </t>
    </r>
    <r>
      <rPr>
        <sz val="9"/>
        <color rgb="FFED7D31"/>
        <rFont val="Calibri"/>
        <family val="2"/>
      </rPr>
      <t>delay(500);</t>
    </r>
  </si>
  <si>
    <t xml:space="preserve">  Serial.begin(9600);</t>
  </si>
  <si>
    <t xml:space="preserve">  delay(500);</t>
  </si>
  <si>
    <t xml:space="preserve">  MegaSerial.begin(9600);</t>
  </si>
  <si>
    <t xml:space="preserve">  setup_wifi();</t>
  </si>
  <si>
    <r>
      <t xml:space="preserve">  </t>
    </r>
    <r>
      <rPr>
        <sz val="9"/>
        <color rgb="FFED7D31"/>
        <rFont val="Calibri"/>
        <family val="2"/>
      </rPr>
      <t>//MQTT</t>
    </r>
    <r>
      <rPr>
        <sz val="9"/>
        <color rgb="FFED7D31"/>
        <rFont val="新細明體"/>
        <family val="1"/>
        <charset val="136"/>
      </rPr>
      <t>初始</t>
    </r>
  </si>
  <si>
    <t xml:space="preserve">  espClient.setCACert(root_ca);</t>
  </si>
  <si>
    <t xml:space="preserve">  client.setServer(mqtt_server, mqtt_port);</t>
  </si>
  <si>
    <t xml:space="preserve">  client.setCallback(callback);</t>
  </si>
  <si>
    <t xml:space="preserve">  if (!client.connected()) {</t>
  </si>
  <si>
    <t xml:space="preserve">    reconnect();</t>
  </si>
  <si>
    <t>LOOP區 1次</t>
    <phoneticPr fontId="2" type="noConversion"/>
  </si>
  <si>
    <t>value_mqttServer</t>
    <phoneticPr fontId="2" type="noConversion"/>
  </si>
  <si>
    <r>
      <t>//</t>
    </r>
    <r>
      <rPr>
        <sz val="9"/>
        <color rgb="FFED7D31"/>
        <rFont val="新細明體"/>
        <family val="1"/>
        <charset val="136"/>
      </rPr>
      <t>與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通訊</t>
    </r>
  </si>
  <si>
    <r>
      <t>//===</t>
    </r>
    <r>
      <rPr>
        <sz val="9"/>
        <color rgb="FFED7D31"/>
        <rFont val="新細明體"/>
        <family val="1"/>
        <charset val="136"/>
      </rPr>
      <t>設定程式碼</t>
    </r>
    <r>
      <rPr>
        <sz val="9"/>
        <color rgb="FFED7D31"/>
        <rFont val="Calibri"/>
        <family val="2"/>
      </rPr>
      <t>input Start===</t>
    </r>
  </si>
  <si>
    <r>
      <t>//===</t>
    </r>
    <r>
      <rPr>
        <sz val="9"/>
        <color rgb="FFED7D31"/>
        <rFont val="新細明體"/>
        <family val="1"/>
        <charset val="136"/>
      </rPr>
      <t>設定程式碼</t>
    </r>
    <r>
      <rPr>
        <sz val="9"/>
        <color rgb="FFED7D31"/>
        <rFont val="Calibri"/>
        <family val="2"/>
      </rPr>
      <t>input End===</t>
    </r>
  </si>
  <si>
    <t>void setup_wifi() {</t>
  </si>
  <si>
    <t xml:space="preserve">  delay(10);</t>
  </si>
  <si>
    <t xml:space="preserve">  Serial.println();</t>
  </si>
  <si>
    <t xml:space="preserve">  Serial.print("Connecting to ");</t>
  </si>
  <si>
    <t xml:space="preserve">  Serial.println(ssid);</t>
  </si>
  <si>
    <t xml:space="preserve">  WiFi.mode(WIFI_STA);</t>
  </si>
  <si>
    <t xml:space="preserve">  WiFi.begin(ssid, password);</t>
  </si>
  <si>
    <t xml:space="preserve">  while (WiFi.status() != WL_CONNECTED) {</t>
  </si>
  <si>
    <t xml:space="preserve">    delay(500);</t>
  </si>
  <si>
    <t xml:space="preserve">    Serial.print(".");</t>
  </si>
  <si>
    <t xml:space="preserve">  Serial.println("");</t>
  </si>
  <si>
    <t xml:space="preserve">  Serial.println("WiFi connected");</t>
  </si>
  <si>
    <t xml:space="preserve">  Serial.println("IP address: ");</t>
  </si>
  <si>
    <t xml:space="preserve">  Serial.println(WiFi.localIP());</t>
  </si>
  <si>
    <r>
      <t>//</t>
    </r>
    <r>
      <rPr>
        <sz val="9"/>
        <color rgb="FFED7D31"/>
        <rFont val="新細明體"/>
        <family val="1"/>
        <charset val="136"/>
      </rPr>
      <t>傳送訊息：</t>
    </r>
    <r>
      <rPr>
        <sz val="9"/>
        <color rgb="FFED7D31"/>
        <rFont val="Calibri"/>
        <family val="2"/>
      </rPr>
      <t>ESP32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Mega</t>
    </r>
  </si>
  <si>
    <t>void UartSentToMega(String msg) {</t>
  </si>
  <si>
    <t xml:space="preserve">  MegaSerial.print(msg);</t>
  </si>
  <si>
    <t>imi_esp32car_loop</t>
  </si>
  <si>
    <r>
      <t>//MQTT</t>
    </r>
    <r>
      <rPr>
        <sz val="9"/>
        <color rgb="FFED7D31"/>
        <rFont val="新細明體"/>
        <family val="1"/>
        <charset val="136"/>
      </rPr>
      <t>啟動</t>
    </r>
  </si>
  <si>
    <t xml:space="preserve">  client.loop();</t>
  </si>
  <si>
    <r>
      <t xml:space="preserve">  </t>
    </r>
    <r>
      <rPr>
        <sz val="9"/>
        <color rgb="FFED7D31"/>
        <rFont val="Calibri"/>
        <family val="2"/>
      </rPr>
      <t>//</t>
    </r>
    <r>
      <rPr>
        <sz val="9"/>
        <color rgb="FFED7D31"/>
        <rFont val="新細明體"/>
        <family val="1"/>
        <charset val="136"/>
      </rPr>
      <t>接收訊息：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ESP32</t>
    </r>
  </si>
  <si>
    <t xml:space="preserve">    UartGetFromMega();</t>
  </si>
  <si>
    <t>FUNCTION上區 1次</t>
    <phoneticPr fontId="2" type="noConversion"/>
  </si>
  <si>
    <t>FUNCTION下區 1次</t>
    <phoneticPr fontId="2" type="noConversion"/>
  </si>
  <si>
    <t>中區</t>
    <phoneticPr fontId="2" type="noConversion"/>
  </si>
  <si>
    <r>
      <t>//</t>
    </r>
    <r>
      <rPr>
        <sz val="9"/>
        <color rgb="FFED7D31"/>
        <rFont val="新細明體"/>
        <family val="1"/>
        <charset val="136"/>
      </rPr>
      <t>接收訊息：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ESP32</t>
    </r>
  </si>
  <si>
    <t xml:space="preserve">void UartGetFromMega() {  </t>
  </si>
  <si>
    <t xml:space="preserve">  while (MegaSerial.available()) {</t>
  </si>
  <si>
    <t xml:space="preserve">    String str = MegaSerial.readString();</t>
  </si>
  <si>
    <t xml:space="preserve">    Serial.println(str);</t>
  </si>
  <si>
    <t>}//while</t>
  </si>
  <si>
    <t>statements_msg</t>
  </si>
  <si>
    <t>imi_esp32car_getArduino_func</t>
  </si>
  <si>
    <t>imi_esp32car_subMqtt</t>
  </si>
  <si>
    <t>imi_esp32car_mqttCallback_func</t>
  </si>
  <si>
    <t>imi_esp32car_isMqttTopic</t>
  </si>
  <si>
    <t>imi_esp32car_sendArduino_mapSet</t>
  </si>
  <si>
    <t>imi_esp32car_pubMqtt_carStandby</t>
  </si>
  <si>
    <t>imi_esp32car_sendArduino_goodsLoad</t>
  </si>
  <si>
    <t>imi_esp32car_isArduinoMsg</t>
  </si>
  <si>
    <t>imi_esp32car_getArduino_recipient</t>
  </si>
  <si>
    <t>imi_esp32car_line_recipient</t>
  </si>
  <si>
    <t>imi_esp32car_getArduino_gps</t>
  </si>
  <si>
    <t>imi_esp32car_pubMqtt_carGps</t>
  </si>
  <si>
    <t>【FUNCTION區程式碼】</t>
    <phoneticPr fontId="2" type="noConversion"/>
  </si>
  <si>
    <t>【SETUP區程式碼】</t>
    <phoneticPr fontId="2" type="noConversion"/>
  </si>
  <si>
    <t>【FUNCTION上區】</t>
    <phoneticPr fontId="2" type="noConversion"/>
  </si>
  <si>
    <t>【FUNCTION中區】</t>
    <phoneticPr fontId="2" type="noConversion"/>
  </si>
  <si>
    <t>【FUNCTION下區】</t>
    <phoneticPr fontId="2" type="noConversion"/>
  </si>
  <si>
    <t>【變數1名稱】</t>
    <phoneticPr fontId="2" type="noConversion"/>
  </si>
  <si>
    <t>【變數2名稱】</t>
  </si>
  <si>
    <t>【變數3名稱】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</si>
</sst>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2"/>
      <color theme="1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C55A11"/>
      <name val="Calibri"/>
      <family val="2"/>
    </font>
    <font>
      <sz val="12"/>
      <color rgb="FF548235"/>
      <name val="Calibri"/>
      <family val="2"/>
    </font>
    <font>
      <sz val="12"/>
      <color rgb="FFFF0000"/>
      <name val="Calibri"/>
      <family val="2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2" tint="-0.249977111117893"/>
      <name val="新細明體"/>
      <family val="2"/>
      <charset val="136"/>
      <scheme val="minor"/>
    </font>
    <font>
      <sz val="12"/>
      <color theme="2" tint="-0.249977111117893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9"/>
      <color indexed="81"/>
      <name val="細明體"/>
      <family val="3"/>
      <charset val="136"/>
    </font>
    <font>
      <sz val="12"/>
      <color rgb="FF538135"/>
      <name val="Calibri"/>
      <family val="2"/>
    </font>
    <font>
      <sz val="12"/>
      <color rgb="FFC45911"/>
      <name val="Calibri"/>
      <family val="2"/>
    </font>
    <font>
      <sz val="10"/>
      <color rgb="FF008800"/>
      <name val="Arial Unicode MS"/>
      <family val="2"/>
    </font>
    <font>
      <b/>
      <sz val="12"/>
      <color rgb="FFFF0000"/>
      <name val="Calibri"/>
      <family val="2"/>
    </font>
    <font>
      <b/>
      <sz val="10"/>
      <color rgb="FFFF0000"/>
      <name val="Arial Unicode MS"/>
      <family val="2"/>
    </font>
    <font>
      <sz val="9"/>
      <color rgb="FFED7D31"/>
      <name val="Calibri"/>
      <family val="2"/>
    </font>
    <font>
      <sz val="9"/>
      <color theme="1"/>
      <name val="Calibri"/>
      <family val="2"/>
    </font>
    <font>
      <sz val="9"/>
      <color rgb="FFED7D31"/>
      <name val="新細明體"/>
      <family val="1"/>
      <charset val="136"/>
    </font>
    <font>
      <sz val="9"/>
      <color theme="0"/>
      <name val="Calibri"/>
      <family val="2"/>
    </font>
    <font>
      <sz val="12"/>
      <color theme="2" tint="-9.9978637043366805E-2"/>
      <name val="Calibri"/>
      <family val="2"/>
    </font>
    <font>
      <sz val="10"/>
      <color rgb="FF0088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8" fillId="4" borderId="0" xfId="0" applyFont="1" applyFill="1">
      <alignment vertical="center"/>
    </xf>
    <xf numFmtId="0" fontId="9" fillId="4" borderId="0" xfId="0" applyFont="1" applyFill="1">
      <alignment vertical="center"/>
    </xf>
    <xf numFmtId="0" fontId="6" fillId="6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1" applyFill="1">
      <alignment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49" fontId="0" fillId="0" borderId="0" xfId="0" quotePrefix="1" applyNumberFormat="1">
      <alignment vertical="center"/>
    </xf>
    <xf numFmtId="49" fontId="6" fillId="6" borderId="0" xfId="0" applyNumberFormat="1" applyFont="1" applyFill="1">
      <alignment vertical="center"/>
    </xf>
    <xf numFmtId="49" fontId="7" fillId="0" borderId="0" xfId="0" quotePrefix="1" applyNumberFormat="1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3" fillId="0" borderId="0" xfId="0" applyFont="1">
      <alignment vertical="center"/>
    </xf>
    <xf numFmtId="0" fontId="14" fillId="0" borderId="2" xfId="0" applyFont="1" applyBorder="1">
      <alignment vertical="center"/>
    </xf>
    <xf numFmtId="0" fontId="4" fillId="3" borderId="0" xfId="0" applyFont="1" applyFill="1">
      <alignment vertical="center"/>
    </xf>
    <xf numFmtId="0" fontId="7" fillId="0" borderId="0" xfId="0" applyFont="1" applyFill="1">
      <alignment vertical="center"/>
    </xf>
    <xf numFmtId="0" fontId="15" fillId="0" borderId="0" xfId="0" applyFont="1">
      <alignment vertical="center"/>
    </xf>
    <xf numFmtId="0" fontId="16" fillId="0" borderId="2" xfId="0" applyFont="1" applyBorder="1">
      <alignment vertical="center"/>
    </xf>
    <xf numFmtId="0" fontId="12" fillId="3" borderId="0" xfId="0" applyFont="1" applyFill="1">
      <alignment vertical="center"/>
    </xf>
    <xf numFmtId="0" fontId="17" fillId="3" borderId="1" xfId="0" applyFont="1" applyFill="1" applyBorder="1">
      <alignment vertical="center"/>
    </xf>
    <xf numFmtId="0" fontId="18" fillId="3" borderId="1" xfId="0" applyFont="1" applyFill="1" applyBorder="1">
      <alignment vertical="center"/>
    </xf>
    <xf numFmtId="0" fontId="0" fillId="0" borderId="0" xfId="0" applyFill="1">
      <alignment vertical="center"/>
    </xf>
    <xf numFmtId="0" fontId="20" fillId="4" borderId="0" xfId="0" applyFont="1" applyFill="1" applyBorder="1">
      <alignment vertical="center"/>
    </xf>
    <xf numFmtId="0" fontId="21" fillId="4" borderId="0" xfId="0" applyFont="1" applyFill="1">
      <alignment vertical="center"/>
    </xf>
    <xf numFmtId="0" fontId="22" fillId="0" borderId="0" xfId="0" applyFont="1">
      <alignment vertical="center"/>
    </xf>
    <xf numFmtId="0" fontId="21" fillId="3" borderId="1" xfId="0" applyFont="1" applyFill="1" applyBorder="1">
      <alignment vertical="center"/>
    </xf>
    <xf numFmtId="0" fontId="22" fillId="3" borderId="1" xfId="0" applyFont="1" applyFill="1" applyBorder="1">
      <alignment vertical="center"/>
    </xf>
    <xf numFmtId="0" fontId="9" fillId="0" borderId="0" xfId="0" applyFont="1" applyFill="1">
      <alignment vertical="center"/>
    </xf>
    <xf numFmtId="49" fontId="0" fillId="0" borderId="0" xfId="0" applyNumberFormat="1" applyFill="1">
      <alignment vertical="center"/>
    </xf>
    <xf numFmtId="49" fontId="6" fillId="0" borderId="0" xfId="0" applyNumberFormat="1" applyFont="1" applyFill="1">
      <alignment vertical="center"/>
    </xf>
    <xf numFmtId="0" fontId="12" fillId="4" borderId="0" xfId="0" applyFont="1" applyFill="1">
      <alignment vertical="center"/>
    </xf>
    <xf numFmtId="49" fontId="0" fillId="4" borderId="0" xfId="0" applyNumberFormat="1" applyFill="1">
      <alignment vertical="center"/>
    </xf>
    <xf numFmtId="0" fontId="4" fillId="4" borderId="0" xfId="0" applyFont="1" applyFill="1">
      <alignment vertical="center"/>
    </xf>
    <xf numFmtId="0" fontId="0" fillId="4" borderId="0" xfId="0" applyFill="1">
      <alignment vertical="center"/>
    </xf>
    <xf numFmtId="0" fontId="1" fillId="7" borderId="0" xfId="1" applyFill="1">
      <alignment vertical="center"/>
    </xf>
    <xf numFmtId="0" fontId="9" fillId="7" borderId="0" xfId="0" applyFont="1" applyFill="1">
      <alignment vertical="center"/>
    </xf>
    <xf numFmtId="0" fontId="0" fillId="7" borderId="0" xfId="0" applyFill="1">
      <alignment vertical="center"/>
    </xf>
  </cellXfs>
  <cellStyles count="2">
    <cellStyle name="一般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5</xdr:row>
      <xdr:rowOff>190500</xdr:rowOff>
    </xdr:from>
    <xdr:to>
      <xdr:col>2</xdr:col>
      <xdr:colOff>879475</xdr:colOff>
      <xdr:row>7</xdr:row>
      <xdr:rowOff>193040</xdr:rowOff>
    </xdr:to>
    <xdr:grpSp>
      <xdr:nvGrpSpPr>
        <xdr:cNvPr id="2" name="群組 1">
          <a:extLst>
            <a:ext uri="{FF2B5EF4-FFF2-40B4-BE49-F238E27FC236}">
              <a16:creationId xmlns:a16="http://schemas.microsoft.com/office/drawing/2014/main" id="{B24312E4-1A91-46F3-8EC7-5B5C1F929D18}"/>
            </a:ext>
          </a:extLst>
        </xdr:cNvPr>
        <xdr:cNvGrpSpPr/>
      </xdr:nvGrpSpPr>
      <xdr:grpSpPr>
        <a:xfrm>
          <a:off x="2971800" y="1238250"/>
          <a:ext cx="2289175" cy="421640"/>
          <a:chOff x="0" y="0"/>
          <a:chExt cx="1860550" cy="421640"/>
        </a:xfrm>
      </xdr:grpSpPr>
      <xdr:sp macro="" textlink="">
        <xdr:nvSpPr>
          <xdr:cNvPr id="3" name="圓角矩形 4">
            <a:extLst>
              <a:ext uri="{FF2B5EF4-FFF2-40B4-BE49-F238E27FC236}">
                <a16:creationId xmlns:a16="http://schemas.microsoft.com/office/drawing/2014/main" id="{97F24E61-9541-4F3A-A214-19D27AC8F289}"/>
              </a:ext>
            </a:extLst>
          </xdr:cNvPr>
          <xdr:cNvSpPr/>
        </xdr:nvSpPr>
        <xdr:spPr>
          <a:xfrm>
            <a:off x="0" y="0"/>
            <a:ext cx="1860550" cy="421640"/>
          </a:xfrm>
          <a:custGeom>
            <a:avLst/>
            <a:gdLst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4364565 w 4424680"/>
              <a:gd name="connsiteY2" fmla="*/ 0 h 360680"/>
              <a:gd name="connsiteX3" fmla="*/ 4424680 w 4424680"/>
              <a:gd name="connsiteY3" fmla="*/ 60115 h 360680"/>
              <a:gd name="connsiteX4" fmla="*/ 4424680 w 4424680"/>
              <a:gd name="connsiteY4" fmla="*/ 300565 h 360680"/>
              <a:gd name="connsiteX5" fmla="*/ 4364565 w 4424680"/>
              <a:gd name="connsiteY5" fmla="*/ 360680 h 360680"/>
              <a:gd name="connsiteX6" fmla="*/ 60115 w 4424680"/>
              <a:gd name="connsiteY6" fmla="*/ 360680 h 360680"/>
              <a:gd name="connsiteX7" fmla="*/ 0 w 4424680"/>
              <a:gd name="connsiteY7" fmla="*/ 300565 h 360680"/>
              <a:gd name="connsiteX8" fmla="*/ 0 w 4424680"/>
              <a:gd name="connsiteY8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27940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60115 w 4424680"/>
              <a:gd name="connsiteY7" fmla="*/ 360680 h 360680"/>
              <a:gd name="connsiteX8" fmla="*/ 0 w 4424680"/>
              <a:gd name="connsiteY8" fmla="*/ 300565 h 360680"/>
              <a:gd name="connsiteX9" fmla="*/ 0 w 4424680"/>
              <a:gd name="connsiteY9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4364565 w 4424680"/>
              <a:gd name="connsiteY2" fmla="*/ 0 h 360680"/>
              <a:gd name="connsiteX3" fmla="*/ 4424680 w 4424680"/>
              <a:gd name="connsiteY3" fmla="*/ 60115 h 360680"/>
              <a:gd name="connsiteX4" fmla="*/ 4424680 w 4424680"/>
              <a:gd name="connsiteY4" fmla="*/ 300565 h 360680"/>
              <a:gd name="connsiteX5" fmla="*/ 4364565 w 4424680"/>
              <a:gd name="connsiteY5" fmla="*/ 360680 h 360680"/>
              <a:gd name="connsiteX6" fmla="*/ 60115 w 4424680"/>
              <a:gd name="connsiteY6" fmla="*/ 360680 h 360680"/>
              <a:gd name="connsiteX7" fmla="*/ 0 w 4424680"/>
              <a:gd name="connsiteY7" fmla="*/ 300565 h 360680"/>
              <a:gd name="connsiteX8" fmla="*/ 0 w 4424680"/>
              <a:gd name="connsiteY8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35052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60115 w 4424680"/>
              <a:gd name="connsiteY7" fmla="*/ 360680 h 360680"/>
              <a:gd name="connsiteX8" fmla="*/ 0 w 4424680"/>
              <a:gd name="connsiteY8" fmla="*/ 300565 h 360680"/>
              <a:gd name="connsiteX9" fmla="*/ 0 w 4424680"/>
              <a:gd name="connsiteY9" fmla="*/ 60115 h 360680"/>
              <a:gd name="connsiteX0" fmla="*/ 0 w 4424680"/>
              <a:gd name="connsiteY0" fmla="*/ 121075 h 421640"/>
              <a:gd name="connsiteX1" fmla="*/ 60115 w 4424680"/>
              <a:gd name="connsiteY1" fmla="*/ 60960 h 421640"/>
              <a:gd name="connsiteX2" fmla="*/ 350520 w 4424680"/>
              <a:gd name="connsiteY2" fmla="*/ 60960 h 421640"/>
              <a:gd name="connsiteX3" fmla="*/ 4364565 w 4424680"/>
              <a:gd name="connsiteY3" fmla="*/ 60960 h 421640"/>
              <a:gd name="connsiteX4" fmla="*/ 4424680 w 4424680"/>
              <a:gd name="connsiteY4" fmla="*/ 121075 h 421640"/>
              <a:gd name="connsiteX5" fmla="*/ 4424680 w 4424680"/>
              <a:gd name="connsiteY5" fmla="*/ 361525 h 421640"/>
              <a:gd name="connsiteX6" fmla="*/ 4364565 w 4424680"/>
              <a:gd name="connsiteY6" fmla="*/ 421640 h 421640"/>
              <a:gd name="connsiteX7" fmla="*/ 60115 w 4424680"/>
              <a:gd name="connsiteY7" fmla="*/ 421640 h 421640"/>
              <a:gd name="connsiteX8" fmla="*/ 0 w 4424680"/>
              <a:gd name="connsiteY8" fmla="*/ 361525 h 421640"/>
              <a:gd name="connsiteX9" fmla="*/ 0 w 4424680"/>
              <a:gd name="connsiteY9" fmla="*/ 121075 h 421640"/>
              <a:gd name="connsiteX0" fmla="*/ 0 w 4424680"/>
              <a:gd name="connsiteY0" fmla="*/ 121075 h 421640"/>
              <a:gd name="connsiteX1" fmla="*/ 60115 w 4424680"/>
              <a:gd name="connsiteY1" fmla="*/ 60960 h 421640"/>
              <a:gd name="connsiteX2" fmla="*/ 350520 w 4424680"/>
              <a:gd name="connsiteY2" fmla="*/ 60960 h 421640"/>
              <a:gd name="connsiteX3" fmla="*/ 4364565 w 4424680"/>
              <a:gd name="connsiteY3" fmla="*/ 60960 h 421640"/>
              <a:gd name="connsiteX4" fmla="*/ 4424680 w 4424680"/>
              <a:gd name="connsiteY4" fmla="*/ 121075 h 421640"/>
              <a:gd name="connsiteX5" fmla="*/ 4424680 w 4424680"/>
              <a:gd name="connsiteY5" fmla="*/ 361525 h 421640"/>
              <a:gd name="connsiteX6" fmla="*/ 4364565 w 4424680"/>
              <a:gd name="connsiteY6" fmla="*/ 421640 h 421640"/>
              <a:gd name="connsiteX7" fmla="*/ 330200 w 4424680"/>
              <a:gd name="connsiteY7" fmla="*/ 421640 h 421640"/>
              <a:gd name="connsiteX8" fmla="*/ 60115 w 4424680"/>
              <a:gd name="connsiteY8" fmla="*/ 421640 h 421640"/>
              <a:gd name="connsiteX9" fmla="*/ 0 w 4424680"/>
              <a:gd name="connsiteY9" fmla="*/ 361525 h 421640"/>
              <a:gd name="connsiteX10" fmla="*/ 0 w 4424680"/>
              <a:gd name="connsiteY10" fmla="*/ 121075 h 42164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35052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330200 w 4424680"/>
              <a:gd name="connsiteY7" fmla="*/ 360680 h 360680"/>
              <a:gd name="connsiteX8" fmla="*/ 60115 w 4424680"/>
              <a:gd name="connsiteY8" fmla="*/ 360680 h 360680"/>
              <a:gd name="connsiteX9" fmla="*/ 0 w 4424680"/>
              <a:gd name="connsiteY9" fmla="*/ 300565 h 360680"/>
              <a:gd name="connsiteX10" fmla="*/ 0 w 4424680"/>
              <a:gd name="connsiteY10" fmla="*/ 60115 h 360680"/>
              <a:gd name="connsiteX0" fmla="*/ 0 w 4424680"/>
              <a:gd name="connsiteY0" fmla="*/ 60115 h 421640"/>
              <a:gd name="connsiteX1" fmla="*/ 60115 w 4424680"/>
              <a:gd name="connsiteY1" fmla="*/ 0 h 421640"/>
              <a:gd name="connsiteX2" fmla="*/ 350520 w 4424680"/>
              <a:gd name="connsiteY2" fmla="*/ 0 h 421640"/>
              <a:gd name="connsiteX3" fmla="*/ 4364565 w 4424680"/>
              <a:gd name="connsiteY3" fmla="*/ 0 h 421640"/>
              <a:gd name="connsiteX4" fmla="*/ 4424680 w 4424680"/>
              <a:gd name="connsiteY4" fmla="*/ 60115 h 421640"/>
              <a:gd name="connsiteX5" fmla="*/ 4424680 w 4424680"/>
              <a:gd name="connsiteY5" fmla="*/ 300565 h 421640"/>
              <a:gd name="connsiteX6" fmla="*/ 4364565 w 4424680"/>
              <a:gd name="connsiteY6" fmla="*/ 360680 h 421640"/>
              <a:gd name="connsiteX7" fmla="*/ 330200 w 4424680"/>
              <a:gd name="connsiteY7" fmla="*/ 360680 h 421640"/>
              <a:gd name="connsiteX8" fmla="*/ 60115 w 4424680"/>
              <a:gd name="connsiteY8" fmla="*/ 360680 h 421640"/>
              <a:gd name="connsiteX9" fmla="*/ 0 w 4424680"/>
              <a:gd name="connsiteY9" fmla="*/ 300565 h 421640"/>
              <a:gd name="connsiteX10" fmla="*/ 0 w 4424680"/>
              <a:gd name="connsiteY10" fmla="*/ 60115 h 42164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424680" h="421640">
                <a:moveTo>
                  <a:pt x="0" y="60115"/>
                </a:moveTo>
                <a:cubicBezTo>
                  <a:pt x="0" y="26914"/>
                  <a:pt x="26914" y="0"/>
                  <a:pt x="60115" y="0"/>
                </a:cubicBezTo>
                <a:cubicBezTo>
                  <a:pt x="156917" y="0"/>
                  <a:pt x="207998" y="121920"/>
                  <a:pt x="350520" y="0"/>
                </a:cubicBezTo>
                <a:lnTo>
                  <a:pt x="4364565" y="0"/>
                </a:lnTo>
                <a:cubicBezTo>
                  <a:pt x="4397766" y="0"/>
                  <a:pt x="4424680" y="26914"/>
                  <a:pt x="4424680" y="60115"/>
                </a:cubicBezTo>
                <a:lnTo>
                  <a:pt x="4424680" y="300565"/>
                </a:lnTo>
                <a:cubicBezTo>
                  <a:pt x="4424680" y="333766"/>
                  <a:pt x="4397766" y="360680"/>
                  <a:pt x="4364565" y="360680"/>
                </a:cubicBezTo>
                <a:lnTo>
                  <a:pt x="330200" y="360680"/>
                </a:lnTo>
                <a:cubicBezTo>
                  <a:pt x="138572" y="497840"/>
                  <a:pt x="150143" y="360680"/>
                  <a:pt x="60115" y="360680"/>
                </a:cubicBezTo>
                <a:cubicBezTo>
                  <a:pt x="26914" y="360680"/>
                  <a:pt x="0" y="333766"/>
                  <a:pt x="0" y="300565"/>
                </a:cubicBezTo>
                <a:lnTo>
                  <a:pt x="0" y="60115"/>
                </a:lnTo>
                <a:close/>
              </a:path>
            </a:pathLst>
          </a:cu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[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訂閱</a:t>
            </a: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]MQTT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主題</a:t>
            </a:r>
          </a:p>
        </xdr:txBody>
      </xdr:sp>
      <xdr:grpSp>
        <xdr:nvGrpSpPr>
          <xdr:cNvPr id="4" name="群組 3">
            <a:extLst>
              <a:ext uri="{FF2B5EF4-FFF2-40B4-BE49-F238E27FC236}">
                <a16:creationId xmlns:a16="http://schemas.microsoft.com/office/drawing/2014/main" id="{5AA07844-DD9F-4FA9-8D35-BF6965E1E5FE}"/>
              </a:ext>
            </a:extLst>
          </xdr:cNvPr>
          <xdr:cNvGrpSpPr/>
        </xdr:nvGrpSpPr>
        <xdr:grpSpPr>
          <a:xfrm>
            <a:off x="1200150" y="82550"/>
            <a:ext cx="452755" cy="238125"/>
            <a:chOff x="0" y="0"/>
            <a:chExt cx="453225" cy="238539"/>
          </a:xfrm>
        </xdr:grpSpPr>
        <xdr:sp macro="" textlink="">
          <xdr:nvSpPr>
            <xdr:cNvPr id="5" name="圓角矩形 51">
              <a:extLst>
                <a:ext uri="{FF2B5EF4-FFF2-40B4-BE49-F238E27FC236}">
                  <a16:creationId xmlns:a16="http://schemas.microsoft.com/office/drawing/2014/main" id="{9BBE00AA-E377-4E9B-A671-B8A76E91342C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76200"/>
              <a:r>
                <a:rPr lang="en-US" sz="12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 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" name="等腰三角形 5">
              <a:extLst>
                <a:ext uri="{FF2B5EF4-FFF2-40B4-BE49-F238E27FC236}">
                  <a16:creationId xmlns:a16="http://schemas.microsoft.com/office/drawing/2014/main" id="{A64E0ADA-B761-4809-BA67-C04BFCF1B42A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1152525</xdr:colOff>
      <xdr:row>6</xdr:row>
      <xdr:rowOff>66675</xdr:rowOff>
    </xdr:from>
    <xdr:to>
      <xdr:col>8</xdr:col>
      <xdr:colOff>259080</xdr:colOff>
      <xdr:row>10</xdr:row>
      <xdr:rowOff>60325</xdr:rowOff>
    </xdr:to>
    <xdr:sp macro="" textlink="">
      <xdr:nvSpPr>
        <xdr:cNvPr id="2" name="手繪多邊形: 圖案 1">
          <a:extLst>
            <a:ext uri="{FF2B5EF4-FFF2-40B4-BE49-F238E27FC236}">
              <a16:creationId xmlns:a16="http://schemas.microsoft.com/office/drawing/2014/main" id="{8D101F40-6676-4B27-98B0-41EF7CA6312F}"/>
            </a:ext>
          </a:extLst>
        </xdr:cNvPr>
        <xdr:cNvSpPr/>
      </xdr:nvSpPr>
      <xdr:spPr>
        <a:xfrm>
          <a:off x="7524750" y="1323975"/>
          <a:ext cx="1706880" cy="831850"/>
        </a:xfrm>
        <a:custGeom>
          <a:avLst/>
          <a:gdLst>
            <a:gd name="connsiteX0" fmla="*/ 66099 w 1606550"/>
            <a:gd name="connsiteY0" fmla="*/ 0 h 831850"/>
            <a:gd name="connsiteX1" fmla="*/ 1540451 w 1606550"/>
            <a:gd name="connsiteY1" fmla="*/ 0 h 831850"/>
            <a:gd name="connsiteX2" fmla="*/ 1606550 w 1606550"/>
            <a:gd name="connsiteY2" fmla="*/ 66099 h 831850"/>
            <a:gd name="connsiteX3" fmla="*/ 1606550 w 1606550"/>
            <a:gd name="connsiteY3" fmla="*/ 346710 h 831850"/>
            <a:gd name="connsiteX4" fmla="*/ 553720 w 1606550"/>
            <a:gd name="connsiteY4" fmla="*/ 346710 h 831850"/>
            <a:gd name="connsiteX5" fmla="*/ 263315 w 1606550"/>
            <a:gd name="connsiteY5" fmla="*/ 346710 h 831850"/>
            <a:gd name="connsiteX6" fmla="*/ 203200 w 1606550"/>
            <a:gd name="connsiteY6" fmla="*/ 406825 h 831850"/>
            <a:gd name="connsiteX7" fmla="*/ 203200 w 1606550"/>
            <a:gd name="connsiteY7" fmla="*/ 647275 h 831850"/>
            <a:gd name="connsiteX8" fmla="*/ 263315 w 1606550"/>
            <a:gd name="connsiteY8" fmla="*/ 707390 h 831850"/>
            <a:gd name="connsiteX9" fmla="*/ 533400 w 1606550"/>
            <a:gd name="connsiteY9" fmla="*/ 707390 h 831850"/>
            <a:gd name="connsiteX10" fmla="*/ 1606550 w 1606550"/>
            <a:gd name="connsiteY10" fmla="*/ 707390 h 831850"/>
            <a:gd name="connsiteX11" fmla="*/ 1606550 w 1606550"/>
            <a:gd name="connsiteY11" fmla="*/ 765751 h 831850"/>
            <a:gd name="connsiteX12" fmla="*/ 1540451 w 1606550"/>
            <a:gd name="connsiteY12" fmla="*/ 831850 h 831850"/>
            <a:gd name="connsiteX13" fmla="*/ 66099 w 1606550"/>
            <a:gd name="connsiteY13" fmla="*/ 831850 h 831850"/>
            <a:gd name="connsiteX14" fmla="*/ 0 w 1606550"/>
            <a:gd name="connsiteY14" fmla="*/ 765751 h 831850"/>
            <a:gd name="connsiteX15" fmla="*/ 0 w 1606550"/>
            <a:gd name="connsiteY15" fmla="*/ 66099 h 831850"/>
            <a:gd name="connsiteX16" fmla="*/ 66099 w 1606550"/>
            <a:gd name="connsiteY16" fmla="*/ 0 h 8318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</a:cxnLst>
          <a:rect l="l" t="t" r="r" b="b"/>
          <a:pathLst>
            <a:path w="1606550" h="831850">
              <a:moveTo>
                <a:pt x="66099" y="0"/>
              </a:moveTo>
              <a:lnTo>
                <a:pt x="1540451" y="0"/>
              </a:lnTo>
              <a:cubicBezTo>
                <a:pt x="1576956" y="0"/>
                <a:pt x="1606550" y="29594"/>
                <a:pt x="1606550" y="66099"/>
              </a:cubicBezTo>
              <a:lnTo>
                <a:pt x="1606550" y="346710"/>
              </a:lnTo>
              <a:lnTo>
                <a:pt x="553720" y="346710"/>
              </a:lnTo>
              <a:cubicBezTo>
                <a:pt x="411198" y="468630"/>
                <a:pt x="360117" y="346710"/>
                <a:pt x="263315" y="346710"/>
              </a:cubicBezTo>
              <a:cubicBezTo>
                <a:pt x="230114" y="346710"/>
                <a:pt x="203200" y="373624"/>
                <a:pt x="203200" y="406825"/>
              </a:cubicBezTo>
              <a:lnTo>
                <a:pt x="203200" y="647275"/>
              </a:lnTo>
              <a:cubicBezTo>
                <a:pt x="203200" y="680476"/>
                <a:pt x="230114" y="707390"/>
                <a:pt x="263315" y="707390"/>
              </a:cubicBezTo>
              <a:cubicBezTo>
                <a:pt x="353343" y="707390"/>
                <a:pt x="341772" y="844550"/>
                <a:pt x="533400" y="707390"/>
              </a:cubicBezTo>
              <a:lnTo>
                <a:pt x="1606550" y="707390"/>
              </a:lnTo>
              <a:lnTo>
                <a:pt x="1606550" y="765751"/>
              </a:lnTo>
              <a:cubicBezTo>
                <a:pt x="1606550" y="802256"/>
                <a:pt x="1576956" y="831850"/>
                <a:pt x="1540451" y="831850"/>
              </a:cubicBezTo>
              <a:lnTo>
                <a:pt x="66099" y="831850"/>
              </a:lnTo>
              <a:cubicBezTo>
                <a:pt x="29594" y="831850"/>
                <a:pt x="0" y="802256"/>
                <a:pt x="0" y="765751"/>
              </a:cubicBezTo>
              <a:lnTo>
                <a:pt x="0" y="66099"/>
              </a:lnTo>
              <a:cubicBezTo>
                <a:pt x="0" y="29594"/>
                <a:pt x="29594" y="0"/>
                <a:pt x="66099" y="0"/>
              </a:cubicBez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接收</a:t>
          </a:r>
          <a:r>
            <a:rPr lang="en-US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Arduino</a:t>
          </a:r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訊息函數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="115" zoomScaleNormal="115" workbookViewId="0">
      <selection activeCell="B11" sqref="B11"/>
    </sheetView>
  </sheetViews>
  <sheetFormatPr defaultRowHeight="16.5"/>
  <cols>
    <col min="1" max="1" width="29" customWidth="1"/>
  </cols>
  <sheetData>
    <row r="1" spans="1:2" ht="17.25" thickBot="1">
      <c r="A1" t="s">
        <v>6</v>
      </c>
      <c r="B1" t="s">
        <v>5</v>
      </c>
    </row>
    <row r="2" spans="1:2" ht="17.25" thickBot="1">
      <c r="A2" s="17" t="s">
        <v>19</v>
      </c>
      <c r="B2" s="20" t="s">
        <v>20</v>
      </c>
    </row>
    <row r="3" spans="1:2">
      <c r="A3" s="28" t="s">
        <v>148</v>
      </c>
      <c r="B3" s="20" t="s">
        <v>21</v>
      </c>
    </row>
    <row r="4" spans="1:2">
      <c r="A4" s="28" t="s">
        <v>163</v>
      </c>
      <c r="B4" s="20" t="s">
        <v>22</v>
      </c>
    </row>
    <row r="5" spans="1:2" ht="17.25" thickBot="1">
      <c r="A5" s="28" t="s">
        <v>164</v>
      </c>
      <c r="B5" s="20" t="s">
        <v>23</v>
      </c>
    </row>
    <row r="6" spans="1:2" ht="17.25" thickBot="1">
      <c r="A6" s="28" t="s">
        <v>165</v>
      </c>
      <c r="B6" s="21" t="s">
        <v>24</v>
      </c>
    </row>
    <row r="7" spans="1:2">
      <c r="A7" s="28" t="s">
        <v>166</v>
      </c>
      <c r="B7" s="20" t="s">
        <v>25</v>
      </c>
    </row>
    <row r="8" spans="1:2">
      <c r="A8" s="28" t="s">
        <v>167</v>
      </c>
      <c r="B8" s="20" t="s">
        <v>26</v>
      </c>
    </row>
    <row r="9" spans="1:2">
      <c r="A9" s="28" t="s">
        <v>168</v>
      </c>
      <c r="B9" s="20" t="s">
        <v>27</v>
      </c>
    </row>
    <row r="10" spans="1:2">
      <c r="A10" s="28" t="s">
        <v>169</v>
      </c>
      <c r="B10" s="20" t="s">
        <v>127</v>
      </c>
    </row>
    <row r="11" spans="1:2">
      <c r="A11" s="28" t="s">
        <v>170</v>
      </c>
      <c r="B11" s="20" t="s">
        <v>28</v>
      </c>
    </row>
    <row r="12" spans="1:2">
      <c r="A12" s="28" t="s">
        <v>171</v>
      </c>
      <c r="B12" s="20" t="s">
        <v>29</v>
      </c>
    </row>
    <row r="13" spans="1:2">
      <c r="A13" s="28" t="s">
        <v>172</v>
      </c>
    </row>
    <row r="14" spans="1:2">
      <c r="A14" s="28" t="s">
        <v>173</v>
      </c>
    </row>
    <row r="15" spans="1:2">
      <c r="A15" s="28" t="s">
        <v>174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8"/>
  <sheetViews>
    <sheetView tabSelected="1" topLeftCell="C1" zoomScaleNormal="100" workbookViewId="0">
      <selection activeCell="F8" sqref="F8"/>
    </sheetView>
  </sheetViews>
  <sheetFormatPr defaultRowHeight="16.5"/>
  <cols>
    <col min="1" max="1" width="62.75" customWidth="1"/>
    <col min="2" max="2" width="35.5" style="25" customWidth="1"/>
    <col min="3" max="3" width="13.375" customWidth="1"/>
    <col min="4" max="4" width="10.125" customWidth="1"/>
    <col min="5" max="5" width="32.75" customWidth="1"/>
    <col min="6" max="6" width="25" customWidth="1"/>
  </cols>
  <sheetData>
    <row r="1" spans="1:6">
      <c r="A1" t="s">
        <v>7</v>
      </c>
      <c r="C1" t="s">
        <v>10</v>
      </c>
      <c r="D1" s="8" t="str">
        <f>"Blockly.Arduino.definitions_['"&amp;D2&amp;"'] = '"&amp;D3&amp;"';"</f>
        <v>Blockly.Arduino.definitions_['imi_esp32car_init'] = '#include &lt;SoftwareSerial.h&gt;\n#include &lt;WiFi.h&gt;\n#include &lt;PubSubClient.h&gt;\n#include &lt;WiFiClientSecure.h&gt;\n//與Mega通訊\nconst char* MAP_SET = "mapSet";\nconst char* GOODS_LOAD = "goodsLoad";\nconst char* LINE_NOTIFY = "lineNotify";\nconst char* CAR_GPS = "carGps";\n//===設定程式碼input Start===\n//===設定程式碼input End===\n//Topic主題\nconst char* TOPIC_MAP_SET = "imiRobot/map/set";\nconst char* TOPIC_CAR_STANDBY = "imiRobot/car/standby";\nconst char* TOPIC_CAR_GPS = "imiRobot/car/gps";\nconst char* TOPIC_GOODS_LOAD = "imiRobot/goods/load";\nconst char* TOPIC_CAR_LOWPOWER = "imiRobot/car/lowPower";\n//發佈者 傳送的消息內容\nchar* mqttSendMsg = "";\n//訂閱者 接收的消息內容\nString mqttGetMsg = "";\nWiFiClientSecure espClient;\nPubSubClient client(espClient);\n// HiveMQ Cloud Let's Encrypt CA certificate\nstatic const char* root_ca PROGMEM = R"EOF(\n-----BEGIN CERTIFICATE-----\nMIIFazCCA1OgAwIBAgIRAIIQz7DSQONZRGPgu2OCiwAwDQYJKoZIhvcNAQELBQAw\nTzELMAkGA1UEBhMCVVMxKTAnBgNVBAoTIEludGVybmV0IFNlY3VyaXR5IFJlc2Vh\ncmNoIEdyb3VwMRUwEwYDVQQDEwxJU1JHIFJvb3QgWDEwHhcNMTUwNjA0MTEwNDM4\nWhcNMzUwNjA0MTEwNDM4WjBPMQswCQYDVQQGEwJVUzEpMCcGA1UEChMgSW50ZXJu\nZXQgU2VjdXJpdHkgUmVzZWFyY2ggR3JvdXAxFTATBgNVBAMTDElTUkcgUm9vdCBY\nMTCCAiIwDQYJKoZIhvcNAQEBBQADggIPADCCAgoCggIBAK3oJHP0FDfzm54rVygc\nh77ct984kIxuPOZXoHj3dcKi/vVqbvYATyjb3miGbESTtrFj/RQSa78f0uoxmyF+\n0TM8ukj13Xnfs7j/EvEhmkvBioZxaUpmZmyPfjxwv60pIgbz5MDmgK7iS4+3mX6U\nA5/TR5d8mUgjU+g4rk8Kb4Mu0UlXjIB0ttov0DiNewNwIRt18jA8+o+u3dpjq+sW\nT8KOEUt+zwvo/7V3LvSye0rgTBIlDHCNAymg4VMk7BPZ7hm/ELNKjD+Jo2FR3qyH\nB5T0Y3HsLuJvW5iB4YlcNHlsdu87kGJ55tukmi8mxdAQ4Q7e2RCOFvu396j3x+UC\nB5iPNgiV5+I3lg02dZ77DnKxHZu8A/lJBdiB3QW0KtZB6awBdpUKD9jf1b0SHzUv\nKBds0pjBqAlkd25HN7rOrFleaJ1/ctaJxQZBKT5ZPt0m9STJEadao0xAH0ahmbWn\nOlFuhjuefXKnEgV4We0+UXgVCwOPjdAvBbI+e0ocS3MFEvzG6uBQE3xDk3SzynTn\njh8BCNAw1FtxNrQHusEwMFxIt4I7mKZ9YIqioymCzLq9gwQbooMDQaHWBfEbwrbw\nqHyGO0aoSCqI3Haadr8faqU9GY/rOPNk3sgrDQoo//fb4hVC1CLQJ13hef4Y53CI\nrU7m2Ys6xt0nUW7/vGT1M0NPAgMBAAGjQjBAMA4GA1UdDwEB/wQEAwIBBjAPBgNV\nHRMBAf8EBTADAQH/MB0GA1UdDgQWBBR5tFnme7bl5AFzgAiIyBpY9umbbjANBgkq\nhkiG9w0BAQsFAAOCAgEAVR9YqbyyqFDQDLHYGmkgJykIrGF1XIpu+ILlaS/V9lZL\nubhzEFnTIZd+50xx+7LSYK05qAvqFyFWhfFQDlnrzuBZ6brJFe+GnY+EgPbk6ZGQ\n3BebYhtF8GaV0nxvwuo77x/Py9auJ/GpsMiu/X1+mvoiBOv/2X/qkSsisRcOj/KK\nNFtY2PwByVS5uCbMiogziUwthDyC3+6WVwW6LLv3xLfHTjuCvjHIInNzktHCgKQ5\nORAzI4JMPJ+GslWYHb4phowim57iaztXOoJwTdwJx4nLCgdNbOhdjsnvzqvHu7Ur\nTkXWStAmzOVyyghqpZXjFaH3pO3JLF+l+/+sKAIuvtd7u+Nxe5AW0wdeRlN8NwdC\njNPElpzVmbUq4JUagEiuTDkHzsxHpFKVK7q4+63SM1N95R1NbdWhscdCb+ZAJzVc\noyi3B43njTOQ5yOf+1CceWxG1bQVs5ZufpsMljq4Ui0/1lvh+wjChP4kqKOJ2qxq\n4RgqsahDYVvTH9w7jXbyLeiNdd8XM2w9U/t7y0Ff/9yi0GE44Za4rF2LN9d11TPA\nmRGunUHBcnWEvgJBQl9nJEiU0Zsnvgc/ubhPgXRR4Xq37Z0j4r7g1SgEEzwxA57d\nemyPxgcYxn/eR44/KJ4EBs+lVDR3veyJm+kXQ99b21/+jh5Xos1AnX5iItreGCc=\n-----END CERTIFICATE-----\n)EOF";\n';</v>
      </c>
      <c r="E1" t="s">
        <v>0</v>
      </c>
      <c r="F1" s="7" t="str">
        <f>"Blockly.Arduino.definitions_['"&amp;變數!A2&amp;"'] = "&amp;DEFINITION!F3&amp;F5&amp;F7&amp;";"</f>
        <v>Blockly.Arduino.definitions_['imi_esp32car_init'] = ;</v>
      </c>
    </row>
    <row r="2" spans="1:6">
      <c r="A2" s="23" t="s">
        <v>30</v>
      </c>
      <c r="B2" s="26" t="str">
        <f>IF(NOT(ISBLANK(A2)),A2&amp;"\n","")</f>
        <v>#include &lt;SoftwareSerial.h&gt;\n</v>
      </c>
      <c r="C2" s="4" t="s">
        <v>9</v>
      </c>
      <c r="D2" s="5" t="str">
        <f>變數!$A$2</f>
        <v>imi_esp32car_init</v>
      </c>
      <c r="E2" s="16"/>
    </row>
    <row r="3" spans="1:6">
      <c r="A3" s="23" t="s">
        <v>31</v>
      </c>
      <c r="B3" s="26" t="str">
        <f t="shared" ref="B3:B66" si="0">IF(NOT(ISBLANK(A3)),A3&amp;"\n","")</f>
        <v>#include &lt;WiFi.h&gt;\n</v>
      </c>
      <c r="C3" s="5" t="s">
        <v>8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>#include &lt;SoftwareSerial.h&gt;\n#include &lt;WiFi.h&gt;\n#include &lt;PubSubClient.h&gt;\n#include &lt;WiFiClientSecure.h&gt;\n//與Mega通訊\nconst char* MAP_SET = "mapSet";\nconst char* GOODS_LOAD = "goodsLoad";\nconst char* LINE_NOTIFY = "lineNotify";\nconst char* CAR_GPS = "carGps";\n//===設定程式碼input Start===\n//===設定程式碼input End===\n//Topic主題\nconst char* TOPIC_MAP_SET = "imiRobot/map/set";\nconst char* TOPIC_CAR_STANDBY = "imiRobot/car/standby";\nconst char* TOPIC_CAR_GPS = "imiRobot/car/gps";\nconst char* TOPIC_GOODS_LOAD = "imiRobot/goods/load";\nconst char* TOPIC_CAR_LOWPOWER = "imiRobot/car/lowPower";\n//發佈者 傳送的消息內容\nchar* mqttSendMsg = "";\n//訂閱者 接收的消息內容\nString mqttGetMsg = "";\nWiFiClientSecure espClient;\nPubSubClient client(espClient);\n// HiveMQ Cloud Let's Encrypt CA certificate\nstatic const char* root_ca PROGMEM = R"EOF(\n-----BEGIN CERTIFICATE-----\nMIIFazCCA1OgAwIBAgIRAIIQz7DSQONZRGPgu2OCiwAwDQYJKoZIhvcNAQELBQAw\nTzELMAkGA1UEBhMCVVMxKTAnBgNVBAoTIEludGVybmV0IFNlY3VyaXR5IFJlc2Vh\ncmNoIEdyb3VwMRUwEwYDVQQDEwxJU1JHIFJvb3QgWDEwHhcNMTUwNjA0MTEwNDM4\nWhcNMzUwNjA0MTEwNDM4WjBPMQswCQYDVQQGEwJVUzEpMCcGA1UEChMgSW50ZXJu\nZXQgU2VjdXJpdHkgUmVzZWFyY2ggR3JvdXAxFTATBgNVBAMTDElTUkcgUm9vdCBY\nMTCCAiIwDQYJKoZIhvcNAQEBBQADggIPADCCAgoCggIBAK3oJHP0FDfzm54rVygc\nh77ct984kIxuPOZXoHj3dcKi/vVqbvYATyjb3miGbESTtrFj/RQSa78f0uoxmyF+\n0TM8ukj13Xnfs7j/EvEhmkvBioZxaUpmZmyPfjxwv60pIgbz5MDmgK7iS4+3mX6U\nA5/TR5d8mUgjU+g4rk8Kb4Mu0UlXjIB0ttov0DiNewNwIRt18jA8+o+u3dpjq+sW\nT8KOEUt+zwvo/7V3LvSye0rgTBIlDHCNAymg4VMk7BPZ7hm/ELNKjD+Jo2FR3qyH\nB5T0Y3HsLuJvW5iB4YlcNHlsdu87kGJ55tukmi8mxdAQ4Q7e2RCOFvu396j3x+UC\nB5iPNgiV5+I3lg02dZ77DnKxHZu8A/lJBdiB3QW0KtZB6awBdpUKD9jf1b0SHzUv\nKBds0pjBqAlkd25HN7rOrFleaJ1/ctaJxQZBKT5ZPt0m9STJEadao0xAH0ahmbWn\nOlFuhjuefXKnEgV4We0+UXgVCwOPjdAvBbI+e0ocS3MFEvzG6uBQE3xDk3SzynTn\njh8BCNAw1FtxNrQHusEwMFxIt4I7mKZ9YIqioymCzLq9gwQbooMDQaHWBfEbwrbw\nqHyGO0aoSCqI3Haadr8faqU9GY/rOPNk3sgrDQoo//fb4hVC1CLQJ13hef4Y53CI\nrU7m2Ys6xt0nUW7/vGT1M0NPAgMBAAGjQjBAMA4GA1UdDwEB/wQEAwIBBjAPBgNV\nHRMBAf8EBTADAQH/MB0GA1UdDgQWBBR5tFnme7bl5AFzgAiIyBpY9umbbjANBgkq\nhkiG9w0BAQsFAAOCAgEAVR9YqbyyqFDQDLHYGmkgJykIrGF1XIpu+ILlaS/V9lZL\nubhzEFnTIZd+50xx+7LSYK05qAvqFyFWhfFQDlnrzuBZ6brJFe+GnY+EgPbk6ZGQ\n3BebYhtF8GaV0nxvwuo77x/Py9auJ/GpsMiu/X1+mvoiBOv/2X/qkSsisRcOj/KK\nNFtY2PwByVS5uCbMiogziUwthDyC3+6WVwW6LLv3xLfHTjuCvjHIInNzktHCgKQ5\nORAzI4JMPJ+GslWYHb4phowim57iaztXOoJwTdwJx4nLCgdNbOhdjsnvzqvHu7Ur\nTkXWStAmzOVyyghqpZXjFaH3pO3JLF+l+/+sKAIuvtd7u+Nxe5AW0wdeRlN8NwdC\njNPElpzVmbUq4JUagEiuTDkHzsxHpFKVK7q4+63SM1N95R1NbdWhscdCb+ZAJzVc\noyi3B43njTOQ5yOf+1CceWxG1bQVs5ZufpsMljq4Ui0/1lvh+wjChP4kqKOJ2qxq\n4RgqsahDYVvTH9w7jXbyLeiNdd8XM2w9U/t7y0Ff/9yi0GE44Za4rF2LN9d11TPA\nmRGunUHBcnWEvgJBQl9nJEiU0Zsnvgc/ubhPgXRR4Xq37Z0j4r7g1SgEEzwxA57d\nemyPxgcYxn/eR44/KJ4EBs+lVDR3veyJm+kXQ99b21/+jh5Xos1AnX5iItreGCc=\n-----END CERTIFICATE-----\n)EOF";\n</v>
      </c>
      <c r="F3" s="6"/>
    </row>
    <row r="4" spans="1:6">
      <c r="A4" s="23" t="s">
        <v>32</v>
      </c>
      <c r="B4" s="26" t="str">
        <f t="shared" si="0"/>
        <v>#include &lt;PubSubClient.h&gt;\n</v>
      </c>
      <c r="E4" s="16"/>
      <c r="F4" s="19"/>
    </row>
    <row r="5" spans="1:6">
      <c r="A5" s="23" t="s">
        <v>33</v>
      </c>
      <c r="B5" s="26" t="str">
        <f t="shared" si="0"/>
        <v>#include &lt;WiFiClientSecure.h&gt;\n</v>
      </c>
      <c r="F5" s="6"/>
    </row>
    <row r="6" spans="1:6">
      <c r="A6" s="24"/>
      <c r="B6" s="26" t="str">
        <f t="shared" si="0"/>
        <v/>
      </c>
      <c r="E6" s="16"/>
    </row>
    <row r="7" spans="1:6">
      <c r="A7" s="23" t="s">
        <v>128</v>
      </c>
      <c r="B7" s="26" t="str">
        <f t="shared" si="0"/>
        <v>//與Mega通訊\n</v>
      </c>
      <c r="F7" s="6"/>
    </row>
    <row r="8" spans="1:6">
      <c r="A8" s="23" t="s">
        <v>34</v>
      </c>
      <c r="B8" s="26" t="str">
        <f t="shared" si="0"/>
        <v>const char* MAP_SET = "mapSet";\n</v>
      </c>
      <c r="E8" s="2"/>
    </row>
    <row r="9" spans="1:6">
      <c r="A9" s="23" t="s">
        <v>35</v>
      </c>
      <c r="B9" s="26" t="str">
        <f t="shared" si="0"/>
        <v>const char* GOODS_LOAD = "goodsLoad";\n</v>
      </c>
      <c r="F9" s="6"/>
    </row>
    <row r="10" spans="1:6">
      <c r="A10" s="23" t="s">
        <v>36</v>
      </c>
      <c r="B10" s="26" t="str">
        <f t="shared" si="0"/>
        <v>const char* LINE_NOTIFY = "lineNotify";\n</v>
      </c>
      <c r="E10" s="2"/>
    </row>
    <row r="11" spans="1:6">
      <c r="A11" s="23" t="s">
        <v>37</v>
      </c>
      <c r="B11" s="26" t="str">
        <f t="shared" si="0"/>
        <v>const char* CAR_GPS = "carGps";\n</v>
      </c>
      <c r="F11" s="6"/>
    </row>
    <row r="12" spans="1:6">
      <c r="A12" s="24"/>
      <c r="B12" s="26" t="str">
        <f t="shared" si="0"/>
        <v/>
      </c>
    </row>
    <row r="13" spans="1:6">
      <c r="A13" s="23" t="s">
        <v>129</v>
      </c>
      <c r="B13" s="26" t="str">
        <f t="shared" si="0"/>
        <v>//===設定程式碼input Start===\n</v>
      </c>
    </row>
    <row r="14" spans="1:6">
      <c r="A14" s="23"/>
      <c r="B14" s="26" t="str">
        <f t="shared" si="0"/>
        <v/>
      </c>
    </row>
    <row r="15" spans="1:6">
      <c r="A15" s="23"/>
      <c r="B15" s="26" t="str">
        <f t="shared" si="0"/>
        <v/>
      </c>
    </row>
    <row r="16" spans="1:6">
      <c r="A16" s="23" t="s">
        <v>130</v>
      </c>
      <c r="B16" s="26" t="str">
        <f t="shared" si="0"/>
        <v>//===設定程式碼input End===\n</v>
      </c>
    </row>
    <row r="17" spans="1:2">
      <c r="A17" s="23"/>
      <c r="B17" s="26" t="str">
        <f t="shared" si="0"/>
        <v/>
      </c>
    </row>
    <row r="18" spans="1:2">
      <c r="A18" s="23" t="s">
        <v>38</v>
      </c>
      <c r="B18" s="26" t="str">
        <f t="shared" si="0"/>
        <v>//Topic主題\n</v>
      </c>
    </row>
    <row r="19" spans="1:2">
      <c r="A19" s="23" t="s">
        <v>39</v>
      </c>
      <c r="B19" s="26" t="str">
        <f t="shared" si="0"/>
        <v>const char* TOPIC_MAP_SET = "imiRobot/map/set";\n</v>
      </c>
    </row>
    <row r="20" spans="1:2">
      <c r="A20" s="23" t="s">
        <v>40</v>
      </c>
      <c r="B20" s="26" t="str">
        <f t="shared" si="0"/>
        <v>const char* TOPIC_CAR_STANDBY = "imiRobot/car/standby";\n</v>
      </c>
    </row>
    <row r="21" spans="1:2">
      <c r="A21" s="23" t="s">
        <v>41</v>
      </c>
      <c r="B21" s="26" t="str">
        <f t="shared" si="0"/>
        <v>const char* TOPIC_CAR_GPS = "imiRobot/car/gps";\n</v>
      </c>
    </row>
    <row r="22" spans="1:2">
      <c r="A22" s="23" t="s">
        <v>42</v>
      </c>
      <c r="B22" s="26" t="str">
        <f t="shared" si="0"/>
        <v>const char* TOPIC_GOODS_LOAD = "imiRobot/goods/load";\n</v>
      </c>
    </row>
    <row r="23" spans="1:2">
      <c r="A23" s="23" t="s">
        <v>43</v>
      </c>
      <c r="B23" s="26" t="str">
        <f t="shared" si="0"/>
        <v>const char* TOPIC_CAR_LOWPOWER = "imiRobot/car/lowPower";\n</v>
      </c>
    </row>
    <row r="24" spans="1:2">
      <c r="A24" s="24"/>
      <c r="B24" s="26" t="str">
        <f t="shared" si="0"/>
        <v/>
      </c>
    </row>
    <row r="25" spans="1:2">
      <c r="A25" s="23" t="s">
        <v>44</v>
      </c>
      <c r="B25" s="26" t="str">
        <f t="shared" si="0"/>
        <v>//發佈者 傳送的消息內容\n</v>
      </c>
    </row>
    <row r="26" spans="1:2">
      <c r="A26" s="23" t="s">
        <v>45</v>
      </c>
      <c r="B26" s="26" t="str">
        <f t="shared" si="0"/>
        <v>char* mqttSendMsg = "";\n</v>
      </c>
    </row>
    <row r="27" spans="1:2">
      <c r="A27" s="23" t="s">
        <v>46</v>
      </c>
      <c r="B27" s="26" t="str">
        <f t="shared" si="0"/>
        <v>//訂閱者 接收的消息內容\n</v>
      </c>
    </row>
    <row r="28" spans="1:2">
      <c r="A28" s="23" t="s">
        <v>47</v>
      </c>
      <c r="B28" s="26" t="str">
        <f t="shared" si="0"/>
        <v>String mqttGetMsg = "";\n</v>
      </c>
    </row>
    <row r="29" spans="1:2">
      <c r="A29" s="23"/>
      <c r="B29" s="26" t="str">
        <f t="shared" si="0"/>
        <v/>
      </c>
    </row>
    <row r="30" spans="1:2">
      <c r="A30" s="23" t="s">
        <v>48</v>
      </c>
      <c r="B30" s="26" t="str">
        <f t="shared" si="0"/>
        <v>WiFiClientSecure espClient;\n</v>
      </c>
    </row>
    <row r="31" spans="1:2">
      <c r="A31" s="23" t="s">
        <v>49</v>
      </c>
      <c r="B31" s="26" t="str">
        <f t="shared" si="0"/>
        <v>PubSubClient client(espClient);\n</v>
      </c>
    </row>
    <row r="32" spans="1:2">
      <c r="A32" s="24"/>
      <c r="B32" s="26" t="str">
        <f t="shared" si="0"/>
        <v/>
      </c>
    </row>
    <row r="33" spans="1:2">
      <c r="A33" s="23" t="s">
        <v>50</v>
      </c>
      <c r="B33" s="26" t="str">
        <f t="shared" si="0"/>
        <v>// HiveMQ Cloud Let's Encrypt CA certificate\n</v>
      </c>
    </row>
    <row r="34" spans="1:2">
      <c r="A34" s="23" t="s">
        <v>51</v>
      </c>
      <c r="B34" s="26" t="str">
        <f t="shared" si="0"/>
        <v>static const char* root_ca PROGMEM = R"EOF(\n</v>
      </c>
    </row>
    <row r="35" spans="1:2">
      <c r="A35" s="23" t="s">
        <v>52</v>
      </c>
      <c r="B35" s="26" t="str">
        <f t="shared" si="0"/>
        <v>-----BEGIN CERTIFICATE-----\n</v>
      </c>
    </row>
    <row r="36" spans="1:2">
      <c r="A36" s="23" t="s">
        <v>53</v>
      </c>
      <c r="B36" s="26" t="str">
        <f t="shared" si="0"/>
        <v>MIIFazCCA1OgAwIBAgIRAIIQz7DSQONZRGPgu2OCiwAwDQYJKoZIhvcNAQELBQAw\n</v>
      </c>
    </row>
    <row r="37" spans="1:2">
      <c r="A37" s="23" t="s">
        <v>54</v>
      </c>
      <c r="B37" s="26" t="str">
        <f t="shared" si="0"/>
        <v>TzELMAkGA1UEBhMCVVMxKTAnBgNVBAoTIEludGVybmV0IFNlY3VyaXR5IFJlc2Vh\n</v>
      </c>
    </row>
    <row r="38" spans="1:2">
      <c r="A38" s="23" t="s">
        <v>55</v>
      </c>
      <c r="B38" s="26" t="str">
        <f t="shared" si="0"/>
        <v>cmNoIEdyb3VwMRUwEwYDVQQDEwxJU1JHIFJvb3QgWDEwHhcNMTUwNjA0MTEwNDM4\n</v>
      </c>
    </row>
    <row r="39" spans="1:2">
      <c r="A39" s="23" t="s">
        <v>56</v>
      </c>
      <c r="B39" s="26" t="str">
        <f t="shared" si="0"/>
        <v>WhcNMzUwNjA0MTEwNDM4WjBPMQswCQYDVQQGEwJVUzEpMCcGA1UEChMgSW50ZXJu\n</v>
      </c>
    </row>
    <row r="40" spans="1:2">
      <c r="A40" s="23" t="s">
        <v>57</v>
      </c>
      <c r="B40" s="26" t="str">
        <f t="shared" si="0"/>
        <v>ZXQgU2VjdXJpdHkgUmVzZWFyY2ggR3JvdXAxFTATBgNVBAMTDElTUkcgUm9vdCBY\n</v>
      </c>
    </row>
    <row r="41" spans="1:2">
      <c r="A41" s="23" t="s">
        <v>58</v>
      </c>
      <c r="B41" s="26" t="str">
        <f t="shared" si="0"/>
        <v>MTCCAiIwDQYJKoZIhvcNAQEBBQADggIPADCCAgoCggIBAK3oJHP0FDfzm54rVygc\n</v>
      </c>
    </row>
    <row r="42" spans="1:2">
      <c r="A42" s="23" t="s">
        <v>59</v>
      </c>
      <c r="B42" s="26" t="str">
        <f t="shared" si="0"/>
        <v>h77ct984kIxuPOZXoHj3dcKi/vVqbvYATyjb3miGbESTtrFj/RQSa78f0uoxmyF+\n</v>
      </c>
    </row>
    <row r="43" spans="1:2">
      <c r="A43" s="23" t="s">
        <v>60</v>
      </c>
      <c r="B43" s="26" t="str">
        <f t="shared" si="0"/>
        <v>0TM8ukj13Xnfs7j/EvEhmkvBioZxaUpmZmyPfjxwv60pIgbz5MDmgK7iS4+3mX6U\n</v>
      </c>
    </row>
    <row r="44" spans="1:2">
      <c r="A44" s="23" t="s">
        <v>61</v>
      </c>
      <c r="B44" s="26" t="str">
        <f t="shared" si="0"/>
        <v>A5/TR5d8mUgjU+g4rk8Kb4Mu0UlXjIB0ttov0DiNewNwIRt18jA8+o+u3dpjq+sW\n</v>
      </c>
    </row>
    <row r="45" spans="1:2">
      <c r="A45" s="23" t="s">
        <v>62</v>
      </c>
      <c r="B45" s="26" t="str">
        <f t="shared" si="0"/>
        <v>T8KOEUt+zwvo/7V3LvSye0rgTBIlDHCNAymg4VMk7BPZ7hm/ELNKjD+Jo2FR3qyH\n</v>
      </c>
    </row>
    <row r="46" spans="1:2">
      <c r="A46" s="23" t="s">
        <v>63</v>
      </c>
      <c r="B46" s="26" t="str">
        <f t="shared" si="0"/>
        <v>B5T0Y3HsLuJvW5iB4YlcNHlsdu87kGJ55tukmi8mxdAQ4Q7e2RCOFvu396j3x+UC\n</v>
      </c>
    </row>
    <row r="47" spans="1:2">
      <c r="A47" s="23" t="s">
        <v>64</v>
      </c>
      <c r="B47" s="26" t="str">
        <f t="shared" si="0"/>
        <v>B5iPNgiV5+I3lg02dZ77DnKxHZu8A/lJBdiB3QW0KtZB6awBdpUKD9jf1b0SHzUv\n</v>
      </c>
    </row>
    <row r="48" spans="1:2">
      <c r="A48" s="23" t="s">
        <v>65</v>
      </c>
      <c r="B48" s="26" t="str">
        <f t="shared" si="0"/>
        <v>KBds0pjBqAlkd25HN7rOrFleaJ1/ctaJxQZBKT5ZPt0m9STJEadao0xAH0ahmbWn\n</v>
      </c>
    </row>
    <row r="49" spans="1:2">
      <c r="A49" s="23" t="s">
        <v>66</v>
      </c>
      <c r="B49" s="26" t="str">
        <f t="shared" si="0"/>
        <v>OlFuhjuefXKnEgV4We0+UXgVCwOPjdAvBbI+e0ocS3MFEvzG6uBQE3xDk3SzynTn\n</v>
      </c>
    </row>
    <row r="50" spans="1:2">
      <c r="A50" s="23" t="s">
        <v>67</v>
      </c>
      <c r="B50" s="26" t="str">
        <f t="shared" si="0"/>
        <v>jh8BCNAw1FtxNrQHusEwMFxIt4I7mKZ9YIqioymCzLq9gwQbooMDQaHWBfEbwrbw\n</v>
      </c>
    </row>
    <row r="51" spans="1:2">
      <c r="A51" s="23" t="s">
        <v>68</v>
      </c>
      <c r="B51" s="26" t="str">
        <f t="shared" si="0"/>
        <v>qHyGO0aoSCqI3Haadr8faqU9GY/rOPNk3sgrDQoo//fb4hVC1CLQJ13hef4Y53CI\n</v>
      </c>
    </row>
    <row r="52" spans="1:2">
      <c r="A52" s="23" t="s">
        <v>69</v>
      </c>
      <c r="B52" s="26" t="str">
        <f t="shared" si="0"/>
        <v>rU7m2Ys6xt0nUW7/vGT1M0NPAgMBAAGjQjBAMA4GA1UdDwEB/wQEAwIBBjAPBgNV\n</v>
      </c>
    </row>
    <row r="53" spans="1:2">
      <c r="A53" s="23" t="s">
        <v>70</v>
      </c>
      <c r="B53" s="26" t="str">
        <f t="shared" si="0"/>
        <v>HRMBAf8EBTADAQH/MB0GA1UdDgQWBBR5tFnme7bl5AFzgAiIyBpY9umbbjANBgkq\n</v>
      </c>
    </row>
    <row r="54" spans="1:2">
      <c r="A54" s="23" t="s">
        <v>71</v>
      </c>
      <c r="B54" s="26" t="str">
        <f t="shared" si="0"/>
        <v>hkiG9w0BAQsFAAOCAgEAVR9YqbyyqFDQDLHYGmkgJykIrGF1XIpu+ILlaS/V9lZL\n</v>
      </c>
    </row>
    <row r="55" spans="1:2">
      <c r="A55" s="23" t="s">
        <v>72</v>
      </c>
      <c r="B55" s="26" t="str">
        <f t="shared" si="0"/>
        <v>ubhzEFnTIZd+50xx+7LSYK05qAvqFyFWhfFQDlnrzuBZ6brJFe+GnY+EgPbk6ZGQ\n</v>
      </c>
    </row>
    <row r="56" spans="1:2">
      <c r="A56" s="23" t="s">
        <v>73</v>
      </c>
      <c r="B56" s="26" t="str">
        <f t="shared" si="0"/>
        <v>3BebYhtF8GaV0nxvwuo77x/Py9auJ/GpsMiu/X1+mvoiBOv/2X/qkSsisRcOj/KK\n</v>
      </c>
    </row>
    <row r="57" spans="1:2">
      <c r="A57" s="23" t="s">
        <v>74</v>
      </c>
      <c r="B57" s="26" t="str">
        <f t="shared" si="0"/>
        <v>NFtY2PwByVS5uCbMiogziUwthDyC3+6WVwW6LLv3xLfHTjuCvjHIInNzktHCgKQ5\n</v>
      </c>
    </row>
    <row r="58" spans="1:2">
      <c r="A58" s="23" t="s">
        <v>75</v>
      </c>
      <c r="B58" s="26" t="str">
        <f t="shared" si="0"/>
        <v>ORAzI4JMPJ+GslWYHb4phowim57iaztXOoJwTdwJx4nLCgdNbOhdjsnvzqvHu7Ur\n</v>
      </c>
    </row>
    <row r="59" spans="1:2">
      <c r="A59" s="23" t="s">
        <v>76</v>
      </c>
      <c r="B59" s="26" t="str">
        <f t="shared" si="0"/>
        <v>TkXWStAmzOVyyghqpZXjFaH3pO3JLF+l+/+sKAIuvtd7u+Nxe5AW0wdeRlN8NwdC\n</v>
      </c>
    </row>
    <row r="60" spans="1:2">
      <c r="A60" s="23" t="s">
        <v>77</v>
      </c>
      <c r="B60" s="26" t="str">
        <f t="shared" si="0"/>
        <v>jNPElpzVmbUq4JUagEiuTDkHzsxHpFKVK7q4+63SM1N95R1NbdWhscdCb+ZAJzVc\n</v>
      </c>
    </row>
    <row r="61" spans="1:2">
      <c r="A61" s="23" t="s">
        <v>78</v>
      </c>
      <c r="B61" s="26" t="str">
        <f t="shared" si="0"/>
        <v>oyi3B43njTOQ5yOf+1CceWxG1bQVs5ZufpsMljq4Ui0/1lvh+wjChP4kqKOJ2qxq\n</v>
      </c>
    </row>
    <row r="62" spans="1:2">
      <c r="A62" s="23" t="s">
        <v>79</v>
      </c>
      <c r="B62" s="26" t="str">
        <f t="shared" si="0"/>
        <v>4RgqsahDYVvTH9w7jXbyLeiNdd8XM2w9U/t7y0Ff/9yi0GE44Za4rF2LN9d11TPA\n</v>
      </c>
    </row>
    <row r="63" spans="1:2">
      <c r="A63" s="23" t="s">
        <v>80</v>
      </c>
      <c r="B63" s="26" t="str">
        <f t="shared" si="0"/>
        <v>mRGunUHBcnWEvgJBQl9nJEiU0Zsnvgc/ubhPgXRR4Xq37Z0j4r7g1SgEEzwxA57d\n</v>
      </c>
    </row>
    <row r="64" spans="1:2">
      <c r="A64" s="23" t="s">
        <v>81</v>
      </c>
      <c r="B64" s="26" t="str">
        <f t="shared" si="0"/>
        <v>emyPxgcYxn/eR44/KJ4EBs+lVDR3veyJm+kXQ99b21/+jh5Xos1AnX5iItreGCc=\n</v>
      </c>
    </row>
    <row r="65" spans="1:2">
      <c r="A65" s="23" t="s">
        <v>82</v>
      </c>
      <c r="B65" s="26" t="str">
        <f t="shared" si="0"/>
        <v>-----END CERTIFICATE-----\n</v>
      </c>
    </row>
    <row r="66" spans="1:2">
      <c r="A66" s="23" t="s">
        <v>83</v>
      </c>
      <c r="B66" s="26" t="str">
        <f t="shared" si="0"/>
        <v>)EOF";\n</v>
      </c>
    </row>
    <row r="67" spans="1:2">
      <c r="A67" s="23"/>
      <c r="B67" s="26" t="str">
        <f t="shared" ref="B67:B88" si="1">IF(NOT(ISBLANK(A67)),A67&amp;"\n","")</f>
        <v/>
      </c>
    </row>
    <row r="68" spans="1:2">
      <c r="A68" s="23"/>
      <c r="B68" s="26" t="str">
        <f t="shared" si="1"/>
        <v/>
      </c>
    </row>
    <row r="69" spans="1:2">
      <c r="A69" s="23"/>
      <c r="B69" s="26" t="str">
        <f t="shared" si="1"/>
        <v/>
      </c>
    </row>
    <row r="70" spans="1:2">
      <c r="A70" s="23"/>
      <c r="B70" s="26" t="str">
        <f t="shared" si="1"/>
        <v/>
      </c>
    </row>
    <row r="71" spans="1:2">
      <c r="A71" s="23"/>
      <c r="B71" s="26" t="str">
        <f t="shared" si="1"/>
        <v/>
      </c>
    </row>
    <row r="72" spans="1:2">
      <c r="A72" s="23"/>
      <c r="B72" s="26" t="str">
        <f t="shared" si="1"/>
        <v/>
      </c>
    </row>
    <row r="73" spans="1:2">
      <c r="A73" s="23"/>
      <c r="B73" s="26" t="str">
        <f t="shared" si="1"/>
        <v/>
      </c>
    </row>
    <row r="74" spans="1:2">
      <c r="A74" s="23"/>
      <c r="B74" s="26" t="str">
        <f t="shared" si="1"/>
        <v/>
      </c>
    </row>
    <row r="75" spans="1:2">
      <c r="A75" s="23"/>
      <c r="B75" s="26" t="str">
        <f t="shared" si="1"/>
        <v/>
      </c>
    </row>
    <row r="76" spans="1:2">
      <c r="A76" s="23"/>
      <c r="B76" s="26" t="str">
        <f t="shared" si="1"/>
        <v/>
      </c>
    </row>
    <row r="77" spans="1:2">
      <c r="A77" s="23"/>
      <c r="B77" s="26" t="str">
        <f t="shared" si="1"/>
        <v/>
      </c>
    </row>
    <row r="78" spans="1:2">
      <c r="A78" s="23"/>
      <c r="B78" s="26" t="str">
        <f t="shared" si="1"/>
        <v/>
      </c>
    </row>
    <row r="79" spans="1:2">
      <c r="A79" s="23"/>
      <c r="B79" s="26" t="str">
        <f t="shared" si="1"/>
        <v/>
      </c>
    </row>
    <row r="80" spans="1:2">
      <c r="A80" s="23"/>
      <c r="B80" s="26" t="str">
        <f t="shared" si="1"/>
        <v/>
      </c>
    </row>
    <row r="81" spans="1:2">
      <c r="A81" s="23"/>
      <c r="B81" s="26" t="str">
        <f t="shared" si="1"/>
        <v/>
      </c>
    </row>
    <row r="82" spans="1:2">
      <c r="A82" s="23"/>
      <c r="B82" s="26" t="str">
        <f t="shared" si="1"/>
        <v/>
      </c>
    </row>
    <row r="83" spans="1:2">
      <c r="A83" s="23"/>
      <c r="B83" s="26" t="str">
        <f t="shared" si="1"/>
        <v/>
      </c>
    </row>
    <row r="84" spans="1:2">
      <c r="A84" s="23"/>
      <c r="B84" s="26" t="str">
        <f t="shared" si="1"/>
        <v/>
      </c>
    </row>
    <row r="85" spans="1:2">
      <c r="A85" s="23"/>
      <c r="B85" s="26" t="str">
        <f t="shared" si="1"/>
        <v/>
      </c>
    </row>
    <row r="86" spans="1:2">
      <c r="A86" s="23"/>
      <c r="B86" s="26" t="str">
        <f t="shared" si="1"/>
        <v/>
      </c>
    </row>
    <row r="87" spans="1:2">
      <c r="A87" s="23"/>
      <c r="B87" s="26" t="str">
        <f t="shared" si="1"/>
        <v/>
      </c>
    </row>
    <row r="88" spans="1:2">
      <c r="A88" s="23"/>
      <c r="B88" s="26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8"/>
  <sheetViews>
    <sheetView workbookViewId="0">
      <selection activeCell="C4" sqref="C4"/>
    </sheetView>
  </sheetViews>
  <sheetFormatPr defaultRowHeight="16.5"/>
  <cols>
    <col min="1" max="1" width="38.25" customWidth="1"/>
    <col min="2" max="2" width="21.625" customWidth="1"/>
    <col min="3" max="3" width="11.375" customWidth="1"/>
    <col min="5" max="5" width="32.875" customWidth="1"/>
    <col min="6" max="6" width="26.25" customWidth="1"/>
  </cols>
  <sheetData>
    <row r="1" spans="1:6">
      <c r="A1" t="s">
        <v>15</v>
      </c>
      <c r="C1" t="s">
        <v>10</v>
      </c>
      <c r="D1" s="8" t="str">
        <f>"Blockly.Arduino.setups_['"&amp;D2&amp;"'] = '"&amp;D3&amp;"';"</f>
        <v>Blockly.Arduino.setups_['imi_esp32car_init'] = '  delay(500);\n  Serial.begin(9600);\n  delay(500);\n  MegaSerial.begin(9600);\n  delay(500);\n  setup_wifi();\n  //MQTT初始\n  espClient.setCACert(root_ca);\n  client.setServer(mqtt_server, mqtt_port);\n  client.setCallback(callback);\n  if (!client.connected()) {\n    reconnect();\n  }\n';</v>
      </c>
      <c r="E1" t="s">
        <v>1</v>
      </c>
      <c r="F1" s="7" t="str">
        <f>"Blockly.Arduino.setups_['"&amp;
變數!$A$2 &amp;"' + "&amp;
變數!B2 &amp;" + "&amp;
變數!B3 &amp;
"] = "&amp;
SETUP!F3 &amp; SETUP!F5
&amp;";"</f>
        <v>Blockly.Arduino.setups_['imi_esp32car_init' + value_rx + value_tx] = ++++++++++++++;</v>
      </c>
    </row>
    <row r="2" spans="1:6">
      <c r="A2" s="24" t="s">
        <v>115</v>
      </c>
      <c r="B2" s="27" t="str">
        <f>IF(NOT(ISBLANK(A2)),A2&amp;"\n","")</f>
        <v xml:space="preserve">  delay(500);\n</v>
      </c>
      <c r="C2" s="4" t="s">
        <v>9</v>
      </c>
      <c r="D2" s="5" t="str">
        <f>變數!$A$2</f>
        <v>imi_esp32car_init</v>
      </c>
      <c r="E2" s="14"/>
      <c r="F2" s="11"/>
    </row>
    <row r="3" spans="1:6">
      <c r="A3" s="23" t="s">
        <v>116</v>
      </c>
      <c r="B3" s="27" t="str">
        <f t="shared" ref="B3:B66" si="0">IF(NOT(ISBLANK(A3)),A3&amp;"\n","")</f>
        <v xml:space="preserve">  Serial.begin(9600);\n</v>
      </c>
      <c r="C3" s="5" t="s">
        <v>176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 xml:space="preserve">  delay(500);\n  Serial.begin(9600);\n  delay(500);\n  MegaSerial.begin(9600);\n  delay(500);\n  setup_wifi();\n  //MQTT初始\n  espClient.setCACert(root_ca);\n  client.setServer(mqtt_server, mqtt_port);\n  client.setCallback(callback);\n  if (!client.connected()) {\n    reconnect();\n  }\n</v>
      </c>
      <c r="E3" s="9"/>
      <c r="F3" s="12" t="str">
        <f>F2&amp;"+"&amp;G2&amp;"+"&amp;H2&amp;"+"&amp;I2&amp;"+"&amp;J2&amp;"+"&amp;K2&amp;"+"&amp;L2&amp;"+"&amp;M2</f>
        <v>+++++++</v>
      </c>
    </row>
    <row r="4" spans="1:6">
      <c r="A4" s="23" t="s">
        <v>117</v>
      </c>
      <c r="B4" s="27" t="str">
        <f t="shared" si="0"/>
        <v xml:space="preserve">  delay(500);\n</v>
      </c>
      <c r="E4" s="1"/>
      <c r="F4" s="13"/>
    </row>
    <row r="5" spans="1:6">
      <c r="A5" s="23" t="s">
        <v>118</v>
      </c>
      <c r="B5" s="27" t="str">
        <f t="shared" si="0"/>
        <v xml:space="preserve">  MegaSerial.begin(9600);\n</v>
      </c>
      <c r="E5" s="9"/>
      <c r="F5" s="12" t="str">
        <f>F4&amp;"+"&amp;G4&amp;"+"&amp;H4&amp;"+"&amp;I4&amp;"+"&amp;J4&amp;"+"&amp;K4&amp;"+"&amp;L4&amp;"+"&amp;M4</f>
        <v>+++++++</v>
      </c>
    </row>
    <row r="6" spans="1:6">
      <c r="A6" s="23" t="s">
        <v>117</v>
      </c>
      <c r="B6" s="27" t="str">
        <f t="shared" si="0"/>
        <v xml:space="preserve">  delay(500);\n</v>
      </c>
      <c r="E6" s="10"/>
      <c r="F6" s="9"/>
    </row>
    <row r="7" spans="1:6">
      <c r="A7" s="23" t="s">
        <v>119</v>
      </c>
      <c r="B7" s="27" t="str">
        <f t="shared" si="0"/>
        <v xml:space="preserve">  setup_wifi();\n</v>
      </c>
      <c r="E7" s="9"/>
      <c r="F7" s="12" t="str">
        <f>F6&amp;"+"&amp;G6&amp;"+"&amp;H6&amp;"+"&amp;I6&amp;"+"&amp;J6&amp;"+"&amp;K6&amp;"+"&amp;L6&amp;"+"&amp;M6</f>
        <v>+++++++</v>
      </c>
    </row>
    <row r="8" spans="1:6">
      <c r="A8" s="24"/>
      <c r="B8" s="27" t="str">
        <f t="shared" si="0"/>
        <v/>
      </c>
      <c r="E8" s="10"/>
      <c r="F8" s="9"/>
    </row>
    <row r="9" spans="1:6">
      <c r="A9" s="24" t="s">
        <v>120</v>
      </c>
      <c r="B9" s="27" t="str">
        <f t="shared" si="0"/>
        <v xml:space="preserve">  //MQTT初始\n</v>
      </c>
      <c r="E9" s="9"/>
      <c r="F9" s="12" t="str">
        <f>F8&amp;"+"&amp;G8&amp;"+"&amp;H8&amp;"+"&amp;I8&amp;"+"&amp;J8&amp;"+"&amp;K8&amp;"+"&amp;L8&amp;"+"&amp;M8</f>
        <v>+++++++</v>
      </c>
    </row>
    <row r="10" spans="1:6">
      <c r="A10" s="23" t="s">
        <v>121</v>
      </c>
      <c r="B10" s="27" t="str">
        <f t="shared" si="0"/>
        <v xml:space="preserve">  espClient.setCACert(root_ca);\n</v>
      </c>
      <c r="E10" s="10"/>
      <c r="F10" s="9"/>
    </row>
    <row r="11" spans="1:6">
      <c r="A11" s="23" t="s">
        <v>122</v>
      </c>
      <c r="B11" s="27" t="str">
        <f t="shared" si="0"/>
        <v xml:space="preserve">  client.setServer(mqtt_server, mqtt_port);\n</v>
      </c>
      <c r="E11" s="9"/>
      <c r="F11" s="12" t="str">
        <f>F10&amp;"+"&amp;G10&amp;"+"&amp;H10&amp;"+"&amp;I10&amp;"+"&amp;J10&amp;"+"&amp;K10&amp;"+"&amp;L10&amp;"+"&amp;M10</f>
        <v>+++++++</v>
      </c>
    </row>
    <row r="12" spans="1:6">
      <c r="A12" s="23" t="s">
        <v>123</v>
      </c>
      <c r="B12" s="27" t="str">
        <f t="shared" si="0"/>
        <v xml:space="preserve">  client.setCallback(callback);\n</v>
      </c>
      <c r="E12" s="9"/>
      <c r="F12" s="9"/>
    </row>
    <row r="13" spans="1:6">
      <c r="A13" s="23" t="s">
        <v>124</v>
      </c>
      <c r="B13" s="27" t="str">
        <f t="shared" si="0"/>
        <v xml:space="preserve">  if (!client.connected()) {\n</v>
      </c>
      <c r="E13" s="9"/>
      <c r="F13" s="9"/>
    </row>
    <row r="14" spans="1:6">
      <c r="A14" s="23" t="s">
        <v>125</v>
      </c>
      <c r="B14" s="27" t="str">
        <f t="shared" si="0"/>
        <v xml:space="preserve">    reconnect();\n</v>
      </c>
      <c r="E14" s="9"/>
      <c r="F14" s="9"/>
    </row>
    <row r="15" spans="1:6">
      <c r="A15" s="23" t="s">
        <v>11</v>
      </c>
      <c r="B15" s="27" t="str">
        <f t="shared" si="0"/>
        <v xml:space="preserve">  }\n</v>
      </c>
      <c r="E15" s="9"/>
      <c r="F15" s="9"/>
    </row>
    <row r="16" spans="1:6">
      <c r="A16" s="3"/>
      <c r="B16" s="27" t="str">
        <f t="shared" si="0"/>
        <v/>
      </c>
      <c r="E16" s="9"/>
      <c r="F16" s="9"/>
    </row>
    <row r="17" spans="1:6">
      <c r="A17" s="3"/>
      <c r="B17" s="27" t="str">
        <f t="shared" si="0"/>
        <v/>
      </c>
      <c r="E17" s="9"/>
      <c r="F17" s="9"/>
    </row>
    <row r="18" spans="1:6">
      <c r="A18" s="3"/>
      <c r="B18" s="27" t="str">
        <f t="shared" si="0"/>
        <v/>
      </c>
      <c r="E18" s="9"/>
      <c r="F18" s="9"/>
    </row>
    <row r="19" spans="1:6">
      <c r="A19" s="3"/>
      <c r="B19" s="27" t="str">
        <f t="shared" si="0"/>
        <v/>
      </c>
      <c r="E19" s="9"/>
      <c r="F19" s="9"/>
    </row>
    <row r="20" spans="1:6">
      <c r="A20" s="3"/>
      <c r="B20" s="27" t="str">
        <f t="shared" si="0"/>
        <v/>
      </c>
      <c r="E20" s="9"/>
      <c r="F20" s="9"/>
    </row>
    <row r="21" spans="1:6">
      <c r="A21" s="3"/>
      <c r="B21" s="27" t="str">
        <f t="shared" si="0"/>
        <v/>
      </c>
      <c r="E21" s="9"/>
      <c r="F21" s="9"/>
    </row>
    <row r="22" spans="1:6">
      <c r="A22" s="3"/>
      <c r="B22" s="27" t="str">
        <f t="shared" si="0"/>
        <v/>
      </c>
      <c r="E22" s="9"/>
    </row>
    <row r="23" spans="1:6">
      <c r="A23" s="3"/>
      <c r="B23" s="27" t="str">
        <f t="shared" si="0"/>
        <v/>
      </c>
    </row>
    <row r="24" spans="1:6">
      <c r="A24" s="3"/>
      <c r="B24" s="27" t="str">
        <f t="shared" si="0"/>
        <v/>
      </c>
    </row>
    <row r="25" spans="1:6">
      <c r="A25" s="3"/>
      <c r="B25" s="27" t="str">
        <f t="shared" si="0"/>
        <v/>
      </c>
    </row>
    <row r="26" spans="1:6">
      <c r="A26" s="3"/>
      <c r="B26" s="27" t="str">
        <f t="shared" si="0"/>
        <v/>
      </c>
    </row>
    <row r="27" spans="1:6">
      <c r="A27" s="3"/>
      <c r="B27" s="27" t="str">
        <f t="shared" si="0"/>
        <v/>
      </c>
    </row>
    <row r="28" spans="1:6">
      <c r="A28" s="3"/>
      <c r="B28" s="27" t="str">
        <f t="shared" si="0"/>
        <v/>
      </c>
    </row>
    <row r="29" spans="1:6">
      <c r="A29" s="3"/>
      <c r="B29" s="27" t="str">
        <f t="shared" si="0"/>
        <v/>
      </c>
    </row>
    <row r="30" spans="1:6">
      <c r="A30" s="3"/>
      <c r="B30" s="27" t="str">
        <f t="shared" si="0"/>
        <v/>
      </c>
    </row>
    <row r="31" spans="1:6">
      <c r="A31" s="3"/>
      <c r="B31" s="27" t="str">
        <f t="shared" si="0"/>
        <v/>
      </c>
    </row>
    <row r="32" spans="1:6">
      <c r="A32" s="3"/>
      <c r="B32" s="27" t="str">
        <f t="shared" si="0"/>
        <v/>
      </c>
    </row>
    <row r="33" spans="1:2">
      <c r="A33" s="3"/>
      <c r="B33" s="27" t="str">
        <f t="shared" si="0"/>
        <v/>
      </c>
    </row>
    <row r="34" spans="1:2">
      <c r="A34" s="3"/>
      <c r="B34" s="27" t="str">
        <f t="shared" si="0"/>
        <v/>
      </c>
    </row>
    <row r="35" spans="1:2">
      <c r="A35" s="3"/>
      <c r="B35" s="27" t="str">
        <f t="shared" si="0"/>
        <v/>
      </c>
    </row>
    <row r="36" spans="1:2">
      <c r="A36" s="3"/>
      <c r="B36" s="27" t="str">
        <f t="shared" si="0"/>
        <v/>
      </c>
    </row>
    <row r="37" spans="1:2">
      <c r="A37" s="3"/>
      <c r="B37" s="27" t="str">
        <f t="shared" si="0"/>
        <v/>
      </c>
    </row>
    <row r="38" spans="1:2">
      <c r="A38" s="3"/>
      <c r="B38" s="27" t="str">
        <f t="shared" si="0"/>
        <v/>
      </c>
    </row>
    <row r="39" spans="1:2">
      <c r="A39" s="3"/>
      <c r="B39" s="27" t="str">
        <f t="shared" si="0"/>
        <v/>
      </c>
    </row>
    <row r="40" spans="1:2">
      <c r="A40" s="3"/>
      <c r="B40" s="27" t="str">
        <f t="shared" si="0"/>
        <v/>
      </c>
    </row>
    <row r="41" spans="1:2">
      <c r="A41" s="3"/>
      <c r="B41" s="27" t="str">
        <f t="shared" si="0"/>
        <v/>
      </c>
    </row>
    <row r="42" spans="1:2">
      <c r="A42" s="3"/>
      <c r="B42" s="27" t="str">
        <f t="shared" si="0"/>
        <v/>
      </c>
    </row>
    <row r="43" spans="1:2">
      <c r="A43" s="3"/>
      <c r="B43" s="27" t="str">
        <f t="shared" si="0"/>
        <v/>
      </c>
    </row>
    <row r="44" spans="1:2">
      <c r="A44" s="3"/>
      <c r="B44" s="27" t="str">
        <f t="shared" si="0"/>
        <v/>
      </c>
    </row>
    <row r="45" spans="1:2">
      <c r="A45" s="3"/>
      <c r="B45" s="27" t="str">
        <f t="shared" si="0"/>
        <v/>
      </c>
    </row>
    <row r="46" spans="1:2">
      <c r="A46" s="3"/>
      <c r="B46" s="27" t="str">
        <f t="shared" si="0"/>
        <v/>
      </c>
    </row>
    <row r="47" spans="1:2">
      <c r="A47" s="3"/>
      <c r="B47" s="27" t="str">
        <f t="shared" si="0"/>
        <v/>
      </c>
    </row>
    <row r="48" spans="1:2">
      <c r="A48" s="3"/>
      <c r="B48" s="27" t="str">
        <f t="shared" si="0"/>
        <v/>
      </c>
    </row>
    <row r="49" spans="1:2">
      <c r="A49" s="3"/>
      <c r="B49" s="27" t="str">
        <f t="shared" si="0"/>
        <v/>
      </c>
    </row>
    <row r="50" spans="1:2">
      <c r="A50" s="3"/>
      <c r="B50" s="27" t="str">
        <f t="shared" si="0"/>
        <v/>
      </c>
    </row>
    <row r="51" spans="1:2">
      <c r="A51" s="3"/>
      <c r="B51" s="27" t="str">
        <f t="shared" si="0"/>
        <v/>
      </c>
    </row>
    <row r="52" spans="1:2">
      <c r="A52" s="3"/>
      <c r="B52" s="27" t="str">
        <f t="shared" si="0"/>
        <v/>
      </c>
    </row>
    <row r="53" spans="1:2">
      <c r="A53" s="3"/>
      <c r="B53" s="27" t="str">
        <f t="shared" si="0"/>
        <v/>
      </c>
    </row>
    <row r="54" spans="1:2">
      <c r="A54" s="3"/>
      <c r="B54" s="27" t="str">
        <f t="shared" si="0"/>
        <v/>
      </c>
    </row>
    <row r="55" spans="1:2">
      <c r="A55" s="3"/>
      <c r="B55" s="27" t="str">
        <f t="shared" si="0"/>
        <v/>
      </c>
    </row>
    <row r="56" spans="1:2">
      <c r="A56" s="3"/>
      <c r="B56" s="27" t="str">
        <f t="shared" si="0"/>
        <v/>
      </c>
    </row>
    <row r="57" spans="1:2">
      <c r="A57" s="3"/>
      <c r="B57" s="27" t="str">
        <f t="shared" si="0"/>
        <v/>
      </c>
    </row>
    <row r="58" spans="1:2">
      <c r="A58" s="3"/>
      <c r="B58" s="27" t="str">
        <f t="shared" si="0"/>
        <v/>
      </c>
    </row>
    <row r="59" spans="1:2">
      <c r="A59" s="3"/>
      <c r="B59" s="27" t="str">
        <f t="shared" si="0"/>
        <v/>
      </c>
    </row>
    <row r="60" spans="1:2">
      <c r="A60" s="3"/>
      <c r="B60" s="27" t="str">
        <f t="shared" si="0"/>
        <v/>
      </c>
    </row>
    <row r="61" spans="1:2">
      <c r="A61" s="3"/>
      <c r="B61" s="27" t="str">
        <f t="shared" si="0"/>
        <v/>
      </c>
    </row>
    <row r="62" spans="1:2">
      <c r="A62" s="3"/>
      <c r="B62" s="27" t="str">
        <f t="shared" si="0"/>
        <v/>
      </c>
    </row>
    <row r="63" spans="1:2">
      <c r="A63" s="3"/>
      <c r="B63" s="27" t="str">
        <f t="shared" si="0"/>
        <v/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7F0F1-4E51-40D0-A4A6-9B36D8F4EB4C}">
  <dimension ref="A1:I88"/>
  <sheetViews>
    <sheetView topLeftCell="H1" workbookViewId="0">
      <selection activeCell="K5" sqref="K5"/>
    </sheetView>
  </sheetViews>
  <sheetFormatPr defaultRowHeight="16.5"/>
  <cols>
    <col min="1" max="1" width="38.25" customWidth="1"/>
    <col min="2" max="2" width="19.25" customWidth="1"/>
    <col min="3" max="3" width="17" customWidth="1"/>
    <col min="5" max="5" width="1" style="40" customWidth="1"/>
    <col min="6" max="6" width="32.875" customWidth="1"/>
    <col min="7" max="7" width="10.5" customWidth="1"/>
    <col min="8" max="8" width="26.25" customWidth="1"/>
  </cols>
  <sheetData>
    <row r="1" spans="1:9">
      <c r="A1" t="s">
        <v>15</v>
      </c>
      <c r="C1" t="s">
        <v>10</v>
      </c>
      <c r="D1" s="8" t="str">
        <f>"Blockly.Arduino.setups_['"&amp;D2&amp;"'] = '"&amp;D3&amp;"';"</f>
        <v>Blockly.Arduino.setups_['imi_esp32car_subMqtt'] = '';</v>
      </c>
      <c r="E1" s="38"/>
      <c r="F1" t="s">
        <v>1</v>
      </c>
      <c r="H1" t="s">
        <v>10</v>
      </c>
      <c r="I1" s="8" t="str">
        <f>"Blockly.Arduino.setups_['"&amp;I2&amp;"'+"&amp;I4&amp;"+"&amp;"'] = '"&amp;I3&amp;"';"</f>
        <v>Blockly.Arduino.setups_['imi_esp32car_subMqtt'+dropdown_mqttTopic+'] = '';</v>
      </c>
    </row>
    <row r="2" spans="1:9">
      <c r="A2" s="24"/>
      <c r="B2" s="27" t="str">
        <f>IF(NOT(ISBLANK(A2)),A2&amp;"\n","")</f>
        <v/>
      </c>
      <c r="C2" s="4" t="s">
        <v>9</v>
      </c>
      <c r="D2" s="5" t="str">
        <f>變數!$A$5</f>
        <v>imi_esp32car_subMqtt</v>
      </c>
      <c r="E2" s="39"/>
      <c r="F2" s="22"/>
      <c r="G2" s="34"/>
      <c r="H2" s="4" t="s">
        <v>9</v>
      </c>
      <c r="I2" s="5" t="str">
        <f>變數!$A$5</f>
        <v>imi_esp32car_subMqtt</v>
      </c>
    </row>
    <row r="3" spans="1:9">
      <c r="A3" s="23"/>
      <c r="B3" s="27" t="str">
        <f t="shared" ref="B3:B66" si="0">IF(NOT(ISBLANK(A3)),A3&amp;"\n","")</f>
        <v/>
      </c>
      <c r="C3" s="5" t="s">
        <v>176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/>
      </c>
      <c r="E3" s="39"/>
      <c r="F3" s="10"/>
      <c r="G3" s="35"/>
      <c r="H3" s="5" t="s">
        <v>176</v>
      </c>
      <c r="I3" s="5" t="str">
        <f>G2&amp;G3&amp;G4&amp;G5&amp;G6&amp;G7&amp;G8&amp;G9&amp;G10&amp;G11&amp;G12&amp;G13&amp;G14&amp;G15&amp;G16&amp;G17&amp;G18&amp;G19&amp;G20&amp;G21&amp;G22&amp;G23&amp;G24&amp;G25&amp;G26&amp;G27&amp;G28&amp;G29&amp;G30&amp;G31&amp;G32&amp;G33&amp;G34&amp;G35&amp;G36&amp;G37&amp;G38&amp;G39&amp;G40&amp;G41&amp;G42&amp;G43&amp;G44&amp;G45&amp;G46&amp;G47&amp;G48&amp;G49&amp;G50&amp;G51&amp;G52&amp;G53&amp;G54&amp;G55&amp;G56&amp;G57&amp;G58&amp;G59&amp;G60&amp;G61&amp;G62&amp;G63&amp;G64&amp;G65&amp;G66&amp;G67&amp;G68&amp;G69&amp;G70&amp;G71&amp;G72&amp;G73&amp;G74&amp;G75&amp;G76&amp;G77&amp;G78&amp;G79&amp;G80&amp;G81&amp;G82&amp;G83&amp;G84&amp;G85&amp;G86&amp;G87&amp;G88</f>
        <v/>
      </c>
    </row>
    <row r="4" spans="1:9">
      <c r="A4" s="23"/>
      <c r="B4" s="27" t="str">
        <f t="shared" si="0"/>
        <v/>
      </c>
      <c r="F4" s="18"/>
      <c r="G4" s="36"/>
      <c r="H4" s="4" t="s">
        <v>180</v>
      </c>
      <c r="I4" s="4" t="str">
        <f>變數!$B$11</f>
        <v>dropdown_mqttTopic</v>
      </c>
    </row>
    <row r="5" spans="1:9">
      <c r="A5" s="23"/>
      <c r="B5" s="27" t="str">
        <f t="shared" si="0"/>
        <v/>
      </c>
      <c r="F5" s="10"/>
      <c r="G5" s="35"/>
      <c r="H5" s="4" t="s">
        <v>181</v>
      </c>
      <c r="I5" s="4"/>
    </row>
    <row r="6" spans="1:9">
      <c r="A6" s="23"/>
      <c r="B6" s="27" t="str">
        <f t="shared" si="0"/>
        <v/>
      </c>
      <c r="F6" s="10"/>
      <c r="G6" s="35"/>
      <c r="H6" s="4" t="s">
        <v>182</v>
      </c>
      <c r="I6" s="4"/>
    </row>
    <row r="7" spans="1:9">
      <c r="A7" s="23"/>
      <c r="B7" s="27" t="str">
        <f t="shared" si="0"/>
        <v/>
      </c>
      <c r="F7" s="10"/>
      <c r="G7" s="35"/>
      <c r="H7" s="33"/>
    </row>
    <row r="8" spans="1:9">
      <c r="A8" s="24"/>
      <c r="B8" s="27" t="str">
        <f t="shared" si="0"/>
        <v/>
      </c>
      <c r="F8" s="10"/>
      <c r="G8" s="35"/>
      <c r="H8" s="32"/>
    </row>
    <row r="9" spans="1:9">
      <c r="A9" s="24"/>
      <c r="B9" s="27" t="str">
        <f t="shared" si="0"/>
        <v/>
      </c>
      <c r="F9" s="10"/>
      <c r="G9" s="35"/>
      <c r="H9" s="33"/>
    </row>
    <row r="10" spans="1:9">
      <c r="A10" s="23"/>
      <c r="B10" s="27" t="str">
        <f t="shared" si="0"/>
        <v/>
      </c>
      <c r="F10" s="10"/>
      <c r="G10" s="35"/>
      <c r="H10" s="32"/>
    </row>
    <row r="11" spans="1:9">
      <c r="A11" s="23"/>
      <c r="B11" s="27" t="str">
        <f t="shared" si="0"/>
        <v/>
      </c>
      <c r="F11" s="10"/>
      <c r="G11" s="35"/>
      <c r="H11" s="33"/>
    </row>
    <row r="12" spans="1:9">
      <c r="A12" s="23"/>
      <c r="B12" s="27" t="str">
        <f t="shared" si="0"/>
        <v/>
      </c>
      <c r="F12" s="10"/>
      <c r="G12" s="35"/>
      <c r="H12" s="32"/>
    </row>
    <row r="13" spans="1:9">
      <c r="A13" s="23"/>
      <c r="B13" s="27" t="str">
        <f t="shared" si="0"/>
        <v/>
      </c>
      <c r="F13" s="10"/>
      <c r="G13" s="35"/>
      <c r="H13" s="9"/>
    </row>
    <row r="14" spans="1:9">
      <c r="A14" s="23"/>
      <c r="B14" s="27" t="str">
        <f t="shared" si="0"/>
        <v/>
      </c>
      <c r="F14" s="10"/>
      <c r="G14" s="35"/>
      <c r="H14" s="9"/>
    </row>
    <row r="15" spans="1:9">
      <c r="A15" s="23"/>
      <c r="B15" s="27" t="str">
        <f t="shared" si="0"/>
        <v/>
      </c>
      <c r="F15" s="10"/>
      <c r="G15" s="35"/>
      <c r="H15" s="9"/>
    </row>
    <row r="16" spans="1:9">
      <c r="A16" s="3"/>
      <c r="B16" s="27" t="str">
        <f t="shared" si="0"/>
        <v/>
      </c>
      <c r="F16" s="10"/>
      <c r="G16" s="35"/>
      <c r="H16" s="9"/>
    </row>
    <row r="17" spans="1:8">
      <c r="A17" s="3"/>
      <c r="B17" s="27" t="str">
        <f t="shared" si="0"/>
        <v/>
      </c>
      <c r="F17" s="10"/>
      <c r="G17" s="35"/>
      <c r="H17" s="9"/>
    </row>
    <row r="18" spans="1:8">
      <c r="A18" s="3"/>
      <c r="B18" s="27" t="str">
        <f t="shared" si="0"/>
        <v/>
      </c>
      <c r="F18" s="10"/>
      <c r="G18" s="35"/>
      <c r="H18" s="9"/>
    </row>
    <row r="19" spans="1:8">
      <c r="A19" s="3"/>
      <c r="B19" s="27" t="str">
        <f t="shared" si="0"/>
        <v/>
      </c>
      <c r="F19" s="10"/>
      <c r="G19" s="35"/>
      <c r="H19" s="9"/>
    </row>
    <row r="20" spans="1:8">
      <c r="A20" s="3"/>
      <c r="B20" s="27" t="str">
        <f t="shared" si="0"/>
        <v/>
      </c>
      <c r="F20" s="10"/>
      <c r="G20" s="35"/>
      <c r="H20" s="9"/>
    </row>
    <row r="21" spans="1:8">
      <c r="A21" s="3"/>
      <c r="B21" s="27" t="str">
        <f t="shared" si="0"/>
        <v/>
      </c>
      <c r="F21" s="10"/>
      <c r="G21" s="35"/>
      <c r="H21" s="9"/>
    </row>
    <row r="22" spans="1:8">
      <c r="A22" s="3"/>
      <c r="B22" s="27" t="str">
        <f t="shared" si="0"/>
        <v/>
      </c>
      <c r="F22" s="10"/>
      <c r="G22" s="35"/>
    </row>
    <row r="23" spans="1:8">
      <c r="A23" s="3"/>
      <c r="B23" s="27" t="str">
        <f t="shared" si="0"/>
        <v/>
      </c>
      <c r="F23" s="2"/>
      <c r="G23" s="37"/>
    </row>
    <row r="24" spans="1:8">
      <c r="A24" s="3"/>
      <c r="B24" s="27" t="str">
        <f t="shared" si="0"/>
        <v/>
      </c>
      <c r="F24" s="2"/>
      <c r="G24" s="37"/>
    </row>
    <row r="25" spans="1:8">
      <c r="A25" s="3"/>
      <c r="B25" s="27" t="str">
        <f t="shared" si="0"/>
        <v/>
      </c>
      <c r="F25" s="2"/>
      <c r="G25" s="37"/>
    </row>
    <row r="26" spans="1:8">
      <c r="A26" s="3"/>
      <c r="B26" s="27" t="str">
        <f t="shared" si="0"/>
        <v/>
      </c>
      <c r="F26" s="2"/>
      <c r="G26" s="37"/>
    </row>
    <row r="27" spans="1:8">
      <c r="A27" s="3"/>
      <c r="B27" s="27" t="str">
        <f t="shared" si="0"/>
        <v/>
      </c>
      <c r="F27" s="2"/>
      <c r="G27" s="37"/>
    </row>
    <row r="28" spans="1:8">
      <c r="A28" s="3"/>
      <c r="B28" s="27" t="str">
        <f t="shared" si="0"/>
        <v/>
      </c>
      <c r="F28" s="2"/>
      <c r="G28" s="37"/>
    </row>
    <row r="29" spans="1:8">
      <c r="A29" s="3"/>
      <c r="B29" s="27" t="str">
        <f t="shared" si="0"/>
        <v/>
      </c>
      <c r="F29" s="2"/>
      <c r="G29" s="37"/>
    </row>
    <row r="30" spans="1:8">
      <c r="A30" s="3"/>
      <c r="B30" s="27" t="str">
        <f t="shared" si="0"/>
        <v/>
      </c>
      <c r="F30" s="2"/>
      <c r="G30" s="37"/>
    </row>
    <row r="31" spans="1:8">
      <c r="A31" s="3"/>
      <c r="B31" s="27" t="str">
        <f t="shared" si="0"/>
        <v/>
      </c>
      <c r="F31" s="2"/>
      <c r="G31" s="37"/>
    </row>
    <row r="32" spans="1:8">
      <c r="A32" s="3"/>
      <c r="B32" s="27" t="str">
        <f t="shared" si="0"/>
        <v/>
      </c>
      <c r="F32" s="2"/>
      <c r="G32" s="37"/>
    </row>
    <row r="33" spans="1:7">
      <c r="A33" s="3"/>
      <c r="B33" s="27" t="str">
        <f t="shared" si="0"/>
        <v/>
      </c>
      <c r="F33" s="2"/>
      <c r="G33" s="37"/>
    </row>
    <row r="34" spans="1:7">
      <c r="A34" s="3"/>
      <c r="B34" s="27" t="str">
        <f t="shared" si="0"/>
        <v/>
      </c>
      <c r="F34" s="2"/>
      <c r="G34" s="37"/>
    </row>
    <row r="35" spans="1:7">
      <c r="A35" s="3"/>
      <c r="B35" s="27" t="str">
        <f t="shared" si="0"/>
        <v/>
      </c>
      <c r="F35" s="2"/>
      <c r="G35" s="37"/>
    </row>
    <row r="36" spans="1:7">
      <c r="A36" s="3"/>
      <c r="B36" s="27" t="str">
        <f t="shared" si="0"/>
        <v/>
      </c>
      <c r="F36" s="2"/>
      <c r="G36" s="37"/>
    </row>
    <row r="37" spans="1:7">
      <c r="A37" s="3"/>
      <c r="B37" s="27" t="str">
        <f t="shared" si="0"/>
        <v/>
      </c>
      <c r="F37" s="2"/>
      <c r="G37" s="37"/>
    </row>
    <row r="38" spans="1:7">
      <c r="A38" s="3"/>
      <c r="B38" s="27" t="str">
        <f t="shared" si="0"/>
        <v/>
      </c>
      <c r="F38" s="2"/>
      <c r="G38" s="37"/>
    </row>
    <row r="39" spans="1:7">
      <c r="A39" s="3"/>
      <c r="B39" s="27" t="str">
        <f t="shared" si="0"/>
        <v/>
      </c>
      <c r="F39" s="2"/>
      <c r="G39" s="37"/>
    </row>
    <row r="40" spans="1:7">
      <c r="A40" s="3"/>
      <c r="B40" s="27" t="str">
        <f t="shared" si="0"/>
        <v/>
      </c>
      <c r="F40" s="2"/>
      <c r="G40" s="37"/>
    </row>
    <row r="41" spans="1:7">
      <c r="A41" s="3"/>
      <c r="B41" s="27" t="str">
        <f t="shared" si="0"/>
        <v/>
      </c>
      <c r="F41" s="2"/>
      <c r="G41" s="37"/>
    </row>
    <row r="42" spans="1:7">
      <c r="A42" s="3"/>
      <c r="B42" s="27" t="str">
        <f t="shared" si="0"/>
        <v/>
      </c>
      <c r="F42" s="2"/>
      <c r="G42" s="37"/>
    </row>
    <row r="43" spans="1:7">
      <c r="A43" s="3"/>
      <c r="B43" s="27" t="str">
        <f t="shared" si="0"/>
        <v/>
      </c>
      <c r="F43" s="2"/>
      <c r="G43" s="37"/>
    </row>
    <row r="44" spans="1:7">
      <c r="A44" s="3"/>
      <c r="B44" s="27" t="str">
        <f t="shared" si="0"/>
        <v/>
      </c>
      <c r="F44" s="2"/>
      <c r="G44" s="37"/>
    </row>
    <row r="45" spans="1:7">
      <c r="A45" s="3"/>
      <c r="B45" s="27" t="str">
        <f t="shared" si="0"/>
        <v/>
      </c>
      <c r="F45" s="2"/>
      <c r="G45" s="37"/>
    </row>
    <row r="46" spans="1:7">
      <c r="A46" s="3"/>
      <c r="B46" s="27" t="str">
        <f t="shared" si="0"/>
        <v/>
      </c>
      <c r="F46" s="2"/>
      <c r="G46" s="37"/>
    </row>
    <row r="47" spans="1:7">
      <c r="A47" s="3"/>
      <c r="B47" s="27" t="str">
        <f t="shared" si="0"/>
        <v/>
      </c>
      <c r="F47" s="2"/>
      <c r="G47" s="37"/>
    </row>
    <row r="48" spans="1:7">
      <c r="A48" s="3"/>
      <c r="B48" s="27" t="str">
        <f t="shared" si="0"/>
        <v/>
      </c>
      <c r="F48" s="2"/>
      <c r="G48" s="37"/>
    </row>
    <row r="49" spans="1:7">
      <c r="A49" s="3"/>
      <c r="B49" s="27" t="str">
        <f t="shared" si="0"/>
        <v/>
      </c>
      <c r="F49" s="2"/>
      <c r="G49" s="37"/>
    </row>
    <row r="50" spans="1:7">
      <c r="A50" s="3"/>
      <c r="B50" s="27" t="str">
        <f t="shared" si="0"/>
        <v/>
      </c>
      <c r="F50" s="2"/>
      <c r="G50" s="37"/>
    </row>
    <row r="51" spans="1:7">
      <c r="A51" s="3"/>
      <c r="B51" s="27" t="str">
        <f t="shared" si="0"/>
        <v/>
      </c>
      <c r="F51" s="2"/>
      <c r="G51" s="37"/>
    </row>
    <row r="52" spans="1:7">
      <c r="A52" s="3"/>
      <c r="B52" s="27" t="str">
        <f t="shared" si="0"/>
        <v/>
      </c>
      <c r="F52" s="2"/>
      <c r="G52" s="37"/>
    </row>
    <row r="53" spans="1:7">
      <c r="A53" s="3"/>
      <c r="B53" s="27" t="str">
        <f t="shared" si="0"/>
        <v/>
      </c>
      <c r="F53" s="2"/>
      <c r="G53" s="37"/>
    </row>
    <row r="54" spans="1:7">
      <c r="A54" s="3"/>
      <c r="B54" s="27" t="str">
        <f t="shared" si="0"/>
        <v/>
      </c>
      <c r="F54" s="2"/>
      <c r="G54" s="37"/>
    </row>
    <row r="55" spans="1:7">
      <c r="A55" s="3"/>
      <c r="B55" s="27" t="str">
        <f t="shared" si="0"/>
        <v/>
      </c>
      <c r="F55" s="2"/>
      <c r="G55" s="37"/>
    </row>
    <row r="56" spans="1:7">
      <c r="A56" s="3"/>
      <c r="B56" s="27" t="str">
        <f t="shared" si="0"/>
        <v/>
      </c>
      <c r="F56" s="2"/>
      <c r="G56" s="37"/>
    </row>
    <row r="57" spans="1:7">
      <c r="A57" s="3"/>
      <c r="B57" s="27" t="str">
        <f t="shared" si="0"/>
        <v/>
      </c>
      <c r="F57" s="2"/>
      <c r="G57" s="37"/>
    </row>
    <row r="58" spans="1:7">
      <c r="A58" s="3"/>
      <c r="B58" s="27" t="str">
        <f t="shared" si="0"/>
        <v/>
      </c>
      <c r="F58" s="2"/>
      <c r="G58" s="37"/>
    </row>
    <row r="59" spans="1:7">
      <c r="A59" s="3"/>
      <c r="B59" s="27" t="str">
        <f t="shared" si="0"/>
        <v/>
      </c>
      <c r="F59" s="2"/>
      <c r="G59" s="37"/>
    </row>
    <row r="60" spans="1:7">
      <c r="A60" s="3"/>
      <c r="B60" s="27" t="str">
        <f t="shared" si="0"/>
        <v/>
      </c>
      <c r="F60" s="2"/>
      <c r="G60" s="37"/>
    </row>
    <row r="61" spans="1:7">
      <c r="A61" s="3"/>
      <c r="B61" s="27" t="str">
        <f t="shared" si="0"/>
        <v/>
      </c>
      <c r="F61" s="2"/>
      <c r="G61" s="37"/>
    </row>
    <row r="62" spans="1:7">
      <c r="A62" s="3"/>
      <c r="B62" s="27" t="str">
        <f t="shared" si="0"/>
        <v/>
      </c>
      <c r="F62" s="2"/>
      <c r="G62" s="37"/>
    </row>
    <row r="63" spans="1:7">
      <c r="A63" s="3"/>
      <c r="B63" s="27" t="str">
        <f t="shared" si="0"/>
        <v/>
      </c>
      <c r="F63" s="2"/>
      <c r="G63" s="37"/>
    </row>
    <row r="64" spans="1:7">
      <c r="A64" s="3"/>
      <c r="B64" s="27" t="str">
        <f t="shared" si="0"/>
        <v/>
      </c>
      <c r="F64" s="2"/>
      <c r="G64" s="37"/>
    </row>
    <row r="65" spans="1:7">
      <c r="A65" s="3"/>
      <c r="B65" s="27" t="str">
        <f t="shared" si="0"/>
        <v/>
      </c>
      <c r="F65" s="2"/>
      <c r="G65" s="37"/>
    </row>
    <row r="66" spans="1:7">
      <c r="A66" s="3"/>
      <c r="B66" s="27" t="str">
        <f t="shared" si="0"/>
        <v/>
      </c>
      <c r="F66" s="2"/>
      <c r="G66" s="37"/>
    </row>
    <row r="67" spans="1:7">
      <c r="A67" s="3"/>
      <c r="B67" s="27" t="str">
        <f t="shared" ref="B67:B88" si="1">IF(NOT(ISBLANK(A67)),A67&amp;"\n","")</f>
        <v/>
      </c>
      <c r="F67" s="2"/>
      <c r="G67" s="37"/>
    </row>
    <row r="68" spans="1:7">
      <c r="A68" s="3"/>
      <c r="B68" s="27" t="str">
        <f t="shared" si="1"/>
        <v/>
      </c>
      <c r="F68" s="2"/>
      <c r="G68" s="37"/>
    </row>
    <row r="69" spans="1:7">
      <c r="A69" s="3"/>
      <c r="B69" s="27" t="str">
        <f t="shared" si="1"/>
        <v/>
      </c>
      <c r="F69" s="2"/>
      <c r="G69" s="37"/>
    </row>
    <row r="70" spans="1:7">
      <c r="A70" s="3"/>
      <c r="B70" s="27" t="str">
        <f t="shared" si="1"/>
        <v/>
      </c>
      <c r="F70" s="2"/>
      <c r="G70" s="37"/>
    </row>
    <row r="71" spans="1:7">
      <c r="A71" s="3"/>
      <c r="B71" s="27" t="str">
        <f t="shared" si="1"/>
        <v/>
      </c>
      <c r="F71" s="2"/>
      <c r="G71" s="37"/>
    </row>
    <row r="72" spans="1:7">
      <c r="A72" s="3"/>
      <c r="B72" s="27" t="str">
        <f t="shared" si="1"/>
        <v/>
      </c>
      <c r="F72" s="2"/>
      <c r="G72" s="37"/>
    </row>
    <row r="73" spans="1:7">
      <c r="A73" s="3"/>
      <c r="B73" s="27" t="str">
        <f t="shared" si="1"/>
        <v/>
      </c>
      <c r="F73" s="2"/>
      <c r="G73" s="37"/>
    </row>
    <row r="74" spans="1:7">
      <c r="A74" s="3"/>
      <c r="B74" s="27" t="str">
        <f t="shared" si="1"/>
        <v/>
      </c>
      <c r="F74" s="2"/>
      <c r="G74" s="37"/>
    </row>
    <row r="75" spans="1:7">
      <c r="A75" s="3"/>
      <c r="B75" s="27" t="str">
        <f t="shared" si="1"/>
        <v/>
      </c>
      <c r="F75" s="2"/>
      <c r="G75" s="37"/>
    </row>
    <row r="76" spans="1:7">
      <c r="A76" s="3"/>
      <c r="B76" s="27" t="str">
        <f t="shared" si="1"/>
        <v/>
      </c>
      <c r="F76" s="2"/>
      <c r="G76" s="37"/>
    </row>
    <row r="77" spans="1:7">
      <c r="A77" s="3"/>
      <c r="B77" s="27" t="str">
        <f t="shared" si="1"/>
        <v/>
      </c>
      <c r="F77" s="2"/>
      <c r="G77" s="37"/>
    </row>
    <row r="78" spans="1:7">
      <c r="A78" s="3"/>
      <c r="B78" s="27" t="str">
        <f t="shared" si="1"/>
        <v/>
      </c>
      <c r="F78" s="2"/>
      <c r="G78" s="37"/>
    </row>
    <row r="79" spans="1:7">
      <c r="A79" s="3"/>
      <c r="B79" s="27" t="str">
        <f t="shared" si="1"/>
        <v/>
      </c>
      <c r="F79" s="2"/>
      <c r="G79" s="37"/>
    </row>
    <row r="80" spans="1:7">
      <c r="A80" s="3"/>
      <c r="B80" s="27" t="str">
        <f t="shared" si="1"/>
        <v/>
      </c>
      <c r="F80" s="2"/>
      <c r="G80" s="37"/>
    </row>
    <row r="81" spans="1:7">
      <c r="A81" s="3"/>
      <c r="B81" s="27" t="str">
        <f t="shared" si="1"/>
        <v/>
      </c>
      <c r="F81" s="2"/>
      <c r="G81" s="37"/>
    </row>
    <row r="82" spans="1:7">
      <c r="A82" s="3"/>
      <c r="B82" s="27" t="str">
        <f t="shared" si="1"/>
        <v/>
      </c>
      <c r="F82" s="2"/>
      <c r="G82" s="37"/>
    </row>
    <row r="83" spans="1:7">
      <c r="A83" s="3"/>
      <c r="B83" s="27" t="str">
        <f t="shared" si="1"/>
        <v/>
      </c>
      <c r="F83" s="2"/>
      <c r="G83" s="37"/>
    </row>
    <row r="84" spans="1:7">
      <c r="A84" s="3"/>
      <c r="B84" s="27" t="str">
        <f t="shared" si="1"/>
        <v/>
      </c>
      <c r="F84" s="2"/>
      <c r="G84" s="37"/>
    </row>
    <row r="85" spans="1:7">
      <c r="A85" s="3"/>
      <c r="B85" s="27" t="str">
        <f t="shared" si="1"/>
        <v/>
      </c>
      <c r="F85" s="2"/>
      <c r="G85" s="37"/>
    </row>
    <row r="86" spans="1:7">
      <c r="A86" s="3"/>
      <c r="B86" s="27" t="str">
        <f t="shared" si="1"/>
        <v/>
      </c>
      <c r="F86" s="2"/>
      <c r="G86" s="37"/>
    </row>
    <row r="87" spans="1:7">
      <c r="A87" s="3"/>
      <c r="B87" s="27" t="str">
        <f t="shared" si="1"/>
        <v/>
      </c>
      <c r="F87" s="2"/>
      <c r="G87" s="37"/>
    </row>
    <row r="88" spans="1:7">
      <c r="A88" s="3"/>
      <c r="B88" s="27" t="str">
        <f t="shared" si="1"/>
        <v/>
      </c>
      <c r="F88" s="2"/>
      <c r="G88" s="37"/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workbookViewId="0">
      <selection activeCell="C5" sqref="C5"/>
    </sheetView>
  </sheetViews>
  <sheetFormatPr defaultRowHeight="16.5"/>
  <cols>
    <col min="1" max="1" width="32.875" customWidth="1"/>
    <col min="2" max="2" width="26.25" customWidth="1"/>
  </cols>
  <sheetData>
    <row r="1" spans="1:4">
      <c r="A1" t="s">
        <v>16</v>
      </c>
      <c r="B1" s="7" t="str">
        <f>"Blockly.Arduino.setups_['"&amp;變數!$A$2&amp;"'] = "&amp;
'SETUP(1次會變動)'!B3 &amp; 'SETUP(1次會變動)'!B5
&amp;";"</f>
        <v>Blockly.Arduino.setups_['imi_esp32car_init'] = ''pinMode('+value_swpin+', INPUT_PULLUP);\n '++++++++++++;</v>
      </c>
    </row>
    <row r="2" spans="1:4">
      <c r="A2" s="15" t="s">
        <v>14</v>
      </c>
      <c r="B2" s="11" t="s">
        <v>17</v>
      </c>
      <c r="C2" t="s">
        <v>13</v>
      </c>
      <c r="D2" t="s">
        <v>18</v>
      </c>
    </row>
    <row r="3" spans="1:4">
      <c r="A3" s="9"/>
      <c r="B3" s="12" t="str">
        <f>B2&amp;"+"&amp;C2&amp;"+"&amp;D2&amp;"+"&amp;E2&amp;"+"&amp;F2&amp;"+"&amp;G2&amp;"+"&amp;H2&amp;"+"&amp;I2</f>
        <v>''pinMode('+value_swpin+', INPUT_PULLUP);\n '+++++</v>
      </c>
    </row>
    <row r="4" spans="1:4">
      <c r="A4" s="18"/>
      <c r="B4" s="13"/>
    </row>
    <row r="5" spans="1:4">
      <c r="A5" s="9"/>
      <c r="B5" s="12" t="str">
        <f>B4&amp;"+"&amp;C4&amp;"+"&amp;D4&amp;"+"&amp;E4&amp;"+"&amp;F4&amp;"+"&amp;G4&amp;"+"&amp;H4&amp;"+"&amp;I4</f>
        <v>+++++++</v>
      </c>
    </row>
    <row r="6" spans="1:4">
      <c r="A6" s="10"/>
      <c r="B6" s="9"/>
    </row>
    <row r="7" spans="1:4">
      <c r="A7" s="9"/>
      <c r="B7" s="12" t="str">
        <f>B6&amp;"+"&amp;C6&amp;"+"&amp;D6&amp;"+"&amp;E6&amp;"+"&amp;F6&amp;"+"&amp;G6&amp;"+"&amp;H6&amp;"+"&amp;I6</f>
        <v>+++++++</v>
      </c>
    </row>
    <row r="8" spans="1:4">
      <c r="A8" s="10"/>
      <c r="B8" s="9"/>
    </row>
    <row r="9" spans="1:4">
      <c r="A9" s="9"/>
      <c r="B9" s="12" t="str">
        <f>B8&amp;"+"&amp;C8&amp;"+"&amp;D8&amp;"+"&amp;E8&amp;"+"&amp;F8&amp;"+"&amp;G8&amp;"+"&amp;H8&amp;"+"&amp;I8</f>
        <v>+++++++</v>
      </c>
    </row>
    <row r="10" spans="1:4">
      <c r="A10" s="10"/>
      <c r="B10" s="9"/>
    </row>
    <row r="11" spans="1:4">
      <c r="A11" s="9"/>
      <c r="B11" s="12" t="str">
        <f>B10&amp;"+"&amp;C10&amp;"+"&amp;D10&amp;"+"&amp;E10&amp;"+"&amp;F10&amp;"+"&amp;G10&amp;"+"&amp;H10&amp;"+"&amp;I10</f>
        <v>+++++++</v>
      </c>
    </row>
    <row r="12" spans="1:4">
      <c r="A12" s="9"/>
      <c r="B12" s="9"/>
    </row>
    <row r="13" spans="1:4">
      <c r="A13" s="9"/>
      <c r="B13" s="9"/>
    </row>
    <row r="14" spans="1:4">
      <c r="A14" s="9"/>
      <c r="B14" s="9"/>
    </row>
    <row r="15" spans="1:4">
      <c r="A15" s="9"/>
      <c r="B15" s="9"/>
    </row>
    <row r="16" spans="1:4">
      <c r="A16" s="9"/>
      <c r="B16" s="9"/>
    </row>
    <row r="17" spans="1:2">
      <c r="A17" s="9"/>
      <c r="B17" s="9"/>
    </row>
    <row r="18" spans="1:2">
      <c r="A18" s="9"/>
      <c r="B18" s="9"/>
    </row>
    <row r="19" spans="1:2">
      <c r="A19" s="9"/>
      <c r="B19" s="9"/>
    </row>
    <row r="20" spans="1:2">
      <c r="A20" s="9"/>
      <c r="B20" s="9"/>
    </row>
    <row r="21" spans="1:2">
      <c r="A21" s="9"/>
      <c r="B21" s="9"/>
    </row>
    <row r="22" spans="1:2">
      <c r="A22" s="9"/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8"/>
  <sheetViews>
    <sheetView workbookViewId="0">
      <selection activeCell="C4" sqref="C4"/>
    </sheetView>
  </sheetViews>
  <sheetFormatPr defaultRowHeight="16.5"/>
  <cols>
    <col min="1" max="1" width="64.25" customWidth="1"/>
    <col min="2" max="2" width="23.75" customWidth="1"/>
    <col min="4" max="4" width="16.375" customWidth="1"/>
  </cols>
  <sheetData>
    <row r="1" spans="1:5">
      <c r="A1" t="s">
        <v>3</v>
      </c>
      <c r="C1" t="s">
        <v>10</v>
      </c>
      <c r="D1" s="8" t="str">
        <f>"Blockly.Arduino.functions_['"&amp;D2&amp;"'] = '"&amp;D3&amp;"';"</f>
        <v>Blockly.Arduino.functions_['imi_esp32car_init'] = 'void reconnect() {\n  while (!client.connected()) {\n    Serial.print("Attempting MQTT connection… ");\n    String clientId = "ESP32Client";\n    if (client.connect(clientId.c_str(), mqtt_username, mqtt_password)) {\n      Serial.println("connected!");\n    } else {\n      Serial.print("failed, rc = ");\n      Serial.print(client.state());\n      Serial.println(" try again in 5 seconds");\n      delay(5000);\n    }\n  }\n}\nvoid sendLineMsg(String myMsg) {\n  static WiFiClientSecure line_client;\n  line_client.setInsecure();\n  myMsg.replace("%", "%25");\n  myMsg.replace("&amp;", "%26");\n  myMsg.replace("§", "&amp;");\n  myMsg.replace("\\n", "\n");\n  if (line_client.connect("notify-api.line.me", 443)) {\n    line_client.println("POST /api/notify HTTP/1.1");\n    line_client.println("Connection: close");\n    line_client.println("Host: notify-api.line.me");\n    line_client.println("Authorization: Bearer " + lineToken);\n    line_client.println("Content-Type: application/x-www-form-urlencoded");\n    line_client.println("Content-Length: " + String(myMsg.length()));\n    line_client.println();\n    line_client.println(myMsg);\n    line_client.println();\n    line_client.stop();\n  } else {\n    Serial.println("Line Notify failed");\n  }\n}\nvoid setup_wifi() {\n  delay(10);\n  Serial.println();\n  Serial.print("Connecting to ");\n  Serial.println(ssid);\n  WiFi.mode(WIFI_STA);\n  WiFi.begin(ssid, password);\n  while (WiFi.status() != WL_CONNECTED) {\n    delay(500);\n    Serial.print(".");\n  }\n  Serial.println("");\n  Serial.println("WiFi connected");\n  Serial.println("IP address: ");\n  Serial.println(WiFi.localIP());\n}\n//傳送訊息：ESP32→Mega\nvoid UartSentToMega(String msg) {\n  MegaSerial.print(msg);\n}\n';</v>
      </c>
      <c r="E1" t="s">
        <v>4</v>
      </c>
    </row>
    <row r="2" spans="1:5">
      <c r="A2" s="23" t="s">
        <v>84</v>
      </c>
      <c r="B2" s="27" t="str">
        <f>IF(NOT(ISBLANK(A2)),A2&amp;"\n","")</f>
        <v>void reconnect() {\n</v>
      </c>
      <c r="C2" s="4" t="s">
        <v>9</v>
      </c>
      <c r="D2" s="5" t="str">
        <f>變數!$A$2</f>
        <v>imi_esp32car_init</v>
      </c>
    </row>
    <row r="3" spans="1:5">
      <c r="A3" s="23" t="s">
        <v>85</v>
      </c>
      <c r="B3" s="27" t="str">
        <f t="shared" ref="B3:B66" si="0">IF(NOT(ISBLANK(A3)),A3&amp;"\n","")</f>
        <v xml:space="preserve">  while (!client.connected()) {\n</v>
      </c>
      <c r="C3" s="5" t="s">
        <v>175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>void reconnect() {\n  while (!client.connected()) {\n    Serial.print("Attempting MQTT connection… ");\n    String clientId = "ESP32Client";\n    if (client.connect(clientId.c_str(), mqtt_username, mqtt_password)) {\n      Serial.println("connected!");\n    } else {\n      Serial.print("failed, rc = ");\n      Serial.print(client.state());\n      Serial.println(" try again in 5 seconds");\n      delay(5000);\n    }\n  }\n}\nvoid sendLineMsg(String myMsg) {\n  static WiFiClientSecure line_client;\n  line_client.setInsecure();\n  myMsg.replace("%", "%25");\n  myMsg.replace("&amp;", "%26");\n  myMsg.replace("§", "&amp;");\n  myMsg.replace("\\n", "\n");\n  if (line_client.connect("notify-api.line.me", 443)) {\n    line_client.println("POST /api/notify HTTP/1.1");\n    line_client.println("Connection: close");\n    line_client.println("Host: notify-api.line.me");\n    line_client.println("Authorization: Bearer " + lineToken);\n    line_client.println("Content-Type: application/x-www-form-urlencoded");\n    line_client.println("Content-Length: " + String(myMsg.length()));\n    line_client.println();\n    line_client.println(myMsg);\n    line_client.println();\n    line_client.stop();\n  } else {\n    Serial.println("Line Notify failed");\n  }\n}\nvoid setup_wifi() {\n  delay(10);\n  Serial.println();\n  Serial.print("Connecting to ");\n  Serial.println(ssid);\n  WiFi.mode(WIFI_STA);\n  WiFi.begin(ssid, password);\n  while (WiFi.status() != WL_CONNECTED) {\n    delay(500);\n    Serial.print(".");\n  }\n  Serial.println("");\n  Serial.println("WiFi connected");\n  Serial.println("IP address: ");\n  Serial.println(WiFi.localIP());\n}\n//傳送訊息：ESP32→Mega\nvoid UartSentToMega(String msg) {\n  MegaSerial.print(msg);\n}\n</v>
      </c>
    </row>
    <row r="4" spans="1:5">
      <c r="A4" s="23" t="s">
        <v>86</v>
      </c>
      <c r="B4" s="27" t="str">
        <f t="shared" si="0"/>
        <v xml:space="preserve">    Serial.print("Attempting MQTT connection… ");\n</v>
      </c>
    </row>
    <row r="5" spans="1:5">
      <c r="A5" s="23" t="s">
        <v>87</v>
      </c>
      <c r="B5" s="27" t="str">
        <f t="shared" si="0"/>
        <v xml:space="preserve">    String clientId = "ESP32Client";\n</v>
      </c>
    </row>
    <row r="6" spans="1:5">
      <c r="A6" s="23" t="s">
        <v>88</v>
      </c>
      <c r="B6" s="27" t="str">
        <f t="shared" si="0"/>
        <v xml:space="preserve">    if (client.connect(clientId.c_str(), mqtt_username, mqtt_password)) {\n</v>
      </c>
    </row>
    <row r="7" spans="1:5">
      <c r="A7" s="23" t="s">
        <v>89</v>
      </c>
      <c r="B7" s="27" t="str">
        <f t="shared" si="0"/>
        <v xml:space="preserve">      Serial.println("connected!");\n</v>
      </c>
    </row>
    <row r="8" spans="1:5">
      <c r="A8" s="23" t="s">
        <v>90</v>
      </c>
      <c r="B8" s="27" t="str">
        <f t="shared" si="0"/>
        <v xml:space="preserve">    } else {\n</v>
      </c>
    </row>
    <row r="9" spans="1:5">
      <c r="A9" s="23" t="s">
        <v>91</v>
      </c>
      <c r="B9" s="27" t="str">
        <f t="shared" si="0"/>
        <v xml:space="preserve">      Serial.print("failed, rc = ");\n</v>
      </c>
    </row>
    <row r="10" spans="1:5">
      <c r="A10" s="23" t="s">
        <v>92</v>
      </c>
      <c r="B10" s="27" t="str">
        <f t="shared" si="0"/>
        <v xml:space="preserve">      Serial.print(client.state());\n</v>
      </c>
    </row>
    <row r="11" spans="1:5">
      <c r="A11" s="23" t="s">
        <v>93</v>
      </c>
      <c r="B11" s="27" t="str">
        <f t="shared" si="0"/>
        <v xml:space="preserve">      Serial.println(" try again in 5 seconds");\n</v>
      </c>
    </row>
    <row r="12" spans="1:5">
      <c r="A12" s="23" t="s">
        <v>94</v>
      </c>
      <c r="B12" s="27" t="str">
        <f t="shared" si="0"/>
        <v xml:space="preserve">      delay(5000);\n</v>
      </c>
    </row>
    <row r="13" spans="1:5">
      <c r="A13" s="23" t="s">
        <v>95</v>
      </c>
      <c r="B13" s="27" t="str">
        <f t="shared" si="0"/>
        <v xml:space="preserve">    }\n</v>
      </c>
    </row>
    <row r="14" spans="1:5">
      <c r="A14" s="23" t="s">
        <v>11</v>
      </c>
      <c r="B14" s="27" t="str">
        <f t="shared" si="0"/>
        <v xml:space="preserve">  }\n</v>
      </c>
    </row>
    <row r="15" spans="1:5">
      <c r="A15" s="23" t="s">
        <v>12</v>
      </c>
      <c r="B15" s="27" t="str">
        <f t="shared" si="0"/>
        <v>}\n</v>
      </c>
    </row>
    <row r="16" spans="1:5">
      <c r="A16" s="24"/>
      <c r="B16" s="27" t="str">
        <f t="shared" si="0"/>
        <v/>
      </c>
    </row>
    <row r="17" spans="1:2">
      <c r="A17" s="23" t="s">
        <v>96</v>
      </c>
      <c r="B17" s="27" t="str">
        <f t="shared" si="0"/>
        <v>void sendLineMsg(String myMsg) {\n</v>
      </c>
    </row>
    <row r="18" spans="1:2">
      <c r="A18" s="23" t="s">
        <v>97</v>
      </c>
      <c r="B18" s="27" t="str">
        <f t="shared" si="0"/>
        <v xml:space="preserve">  static WiFiClientSecure line_client;\n</v>
      </c>
    </row>
    <row r="19" spans="1:2">
      <c r="A19" s="23" t="s">
        <v>98</v>
      </c>
      <c r="B19" s="27" t="str">
        <f t="shared" si="0"/>
        <v xml:space="preserve">  line_client.setInsecure();\n</v>
      </c>
    </row>
    <row r="20" spans="1:2">
      <c r="A20" s="23" t="s">
        <v>99</v>
      </c>
      <c r="B20" s="27" t="str">
        <f t="shared" si="0"/>
        <v xml:space="preserve">  myMsg.replace("%", "%25");\n</v>
      </c>
    </row>
    <row r="21" spans="1:2">
      <c r="A21" s="23" t="s">
        <v>100</v>
      </c>
      <c r="B21" s="27" t="str">
        <f t="shared" si="0"/>
        <v xml:space="preserve">  myMsg.replace("&amp;", "%26");\n</v>
      </c>
    </row>
    <row r="22" spans="1:2">
      <c r="A22" s="23" t="s">
        <v>101</v>
      </c>
      <c r="B22" s="27" t="str">
        <f t="shared" si="0"/>
        <v xml:space="preserve">  myMsg.replace("§", "&amp;");\n</v>
      </c>
    </row>
    <row r="23" spans="1:2">
      <c r="A23" s="23" t="s">
        <v>102</v>
      </c>
      <c r="B23" s="27" t="str">
        <f t="shared" si="0"/>
        <v xml:space="preserve">  myMsg.replace("\\n", "\n");\n</v>
      </c>
    </row>
    <row r="24" spans="1:2">
      <c r="A24" s="23" t="s">
        <v>103</v>
      </c>
      <c r="B24" s="27" t="str">
        <f t="shared" si="0"/>
        <v xml:space="preserve">  if (line_client.connect("notify-api.line.me", 443)) {\n</v>
      </c>
    </row>
    <row r="25" spans="1:2">
      <c r="A25" s="23" t="s">
        <v>104</v>
      </c>
      <c r="B25" s="27" t="str">
        <f t="shared" si="0"/>
        <v xml:space="preserve">    line_client.println("POST /api/notify HTTP/1.1");\n</v>
      </c>
    </row>
    <row r="26" spans="1:2">
      <c r="A26" s="23" t="s">
        <v>105</v>
      </c>
      <c r="B26" s="27" t="str">
        <f t="shared" si="0"/>
        <v xml:space="preserve">    line_client.println("Connection: close");\n</v>
      </c>
    </row>
    <row r="27" spans="1:2">
      <c r="A27" s="23" t="s">
        <v>106</v>
      </c>
      <c r="B27" s="27" t="str">
        <f t="shared" si="0"/>
        <v xml:space="preserve">    line_client.println("Host: notify-api.line.me");\n</v>
      </c>
    </row>
    <row r="28" spans="1:2">
      <c r="A28" s="23" t="s">
        <v>107</v>
      </c>
      <c r="B28" s="27" t="str">
        <f t="shared" si="0"/>
        <v xml:space="preserve">    line_client.println("Authorization: Bearer " + lineToken);\n</v>
      </c>
    </row>
    <row r="29" spans="1:2">
      <c r="A29" s="23" t="s">
        <v>108</v>
      </c>
      <c r="B29" s="27" t="str">
        <f t="shared" si="0"/>
        <v xml:space="preserve">    line_client.println("Content-Type: application/x-www-form-urlencoded");\n</v>
      </c>
    </row>
    <row r="30" spans="1:2">
      <c r="A30" s="23" t="s">
        <v>109</v>
      </c>
      <c r="B30" s="27" t="str">
        <f t="shared" si="0"/>
        <v xml:space="preserve">    line_client.println("Content-Length: " + String(myMsg.length()));\n</v>
      </c>
    </row>
    <row r="31" spans="1:2">
      <c r="A31" s="23" t="s">
        <v>110</v>
      </c>
      <c r="B31" s="27" t="str">
        <f t="shared" si="0"/>
        <v xml:space="preserve">    line_client.println();\n</v>
      </c>
    </row>
    <row r="32" spans="1:2">
      <c r="A32" s="23" t="s">
        <v>111</v>
      </c>
      <c r="B32" s="27" t="str">
        <f t="shared" si="0"/>
        <v xml:space="preserve">    line_client.println(myMsg);\n</v>
      </c>
    </row>
    <row r="33" spans="1:2">
      <c r="A33" s="23" t="s">
        <v>110</v>
      </c>
      <c r="B33" s="27" t="str">
        <f t="shared" si="0"/>
        <v xml:space="preserve">    line_client.println();\n</v>
      </c>
    </row>
    <row r="34" spans="1:2">
      <c r="A34" s="23" t="s">
        <v>112</v>
      </c>
      <c r="B34" s="27" t="str">
        <f t="shared" si="0"/>
        <v xml:space="preserve">    line_client.stop();\n</v>
      </c>
    </row>
    <row r="35" spans="1:2">
      <c r="A35" s="23" t="s">
        <v>113</v>
      </c>
      <c r="B35" s="27" t="str">
        <f t="shared" si="0"/>
        <v xml:space="preserve">  } else {\n</v>
      </c>
    </row>
    <row r="36" spans="1:2">
      <c r="A36" s="23" t="s">
        <v>114</v>
      </c>
      <c r="B36" s="27" t="str">
        <f t="shared" si="0"/>
        <v xml:space="preserve">    Serial.println("Line Notify failed");\n</v>
      </c>
    </row>
    <row r="37" spans="1:2">
      <c r="A37" s="23" t="s">
        <v>11</v>
      </c>
      <c r="B37" s="27" t="str">
        <f t="shared" si="0"/>
        <v xml:space="preserve">  }\n</v>
      </c>
    </row>
    <row r="38" spans="1:2">
      <c r="A38" s="23" t="s">
        <v>12</v>
      </c>
      <c r="B38" s="27" t="str">
        <f t="shared" si="0"/>
        <v>}\n</v>
      </c>
    </row>
    <row r="39" spans="1:2">
      <c r="A39" s="3"/>
      <c r="B39" s="27" t="str">
        <f t="shared" si="0"/>
        <v/>
      </c>
    </row>
    <row r="40" spans="1:2">
      <c r="A40" s="23" t="s">
        <v>131</v>
      </c>
      <c r="B40" s="27" t="str">
        <f t="shared" si="0"/>
        <v>void setup_wifi() {\n</v>
      </c>
    </row>
    <row r="41" spans="1:2">
      <c r="A41" s="23" t="s">
        <v>132</v>
      </c>
      <c r="B41" s="27" t="str">
        <f t="shared" si="0"/>
        <v xml:space="preserve">  delay(10);\n</v>
      </c>
    </row>
    <row r="42" spans="1:2">
      <c r="A42" s="23" t="s">
        <v>133</v>
      </c>
      <c r="B42" s="27" t="str">
        <f t="shared" si="0"/>
        <v xml:space="preserve">  Serial.println();\n</v>
      </c>
    </row>
    <row r="43" spans="1:2">
      <c r="A43" s="23" t="s">
        <v>134</v>
      </c>
      <c r="B43" s="27" t="str">
        <f t="shared" si="0"/>
        <v xml:space="preserve">  Serial.print("Connecting to ");\n</v>
      </c>
    </row>
    <row r="44" spans="1:2">
      <c r="A44" s="23" t="s">
        <v>135</v>
      </c>
      <c r="B44" s="27" t="str">
        <f t="shared" si="0"/>
        <v xml:space="preserve">  Serial.println(ssid);\n</v>
      </c>
    </row>
    <row r="45" spans="1:2">
      <c r="A45" s="23"/>
      <c r="B45" s="27" t="str">
        <f t="shared" si="0"/>
        <v/>
      </c>
    </row>
    <row r="46" spans="1:2">
      <c r="A46" s="23" t="s">
        <v>136</v>
      </c>
      <c r="B46" s="27" t="str">
        <f t="shared" si="0"/>
        <v xml:space="preserve">  WiFi.mode(WIFI_STA);\n</v>
      </c>
    </row>
    <row r="47" spans="1:2">
      <c r="A47" s="23" t="s">
        <v>137</v>
      </c>
      <c r="B47" s="27" t="str">
        <f t="shared" si="0"/>
        <v xml:space="preserve">  WiFi.begin(ssid, password);\n</v>
      </c>
    </row>
    <row r="48" spans="1:2">
      <c r="A48" s="23"/>
      <c r="B48" s="27" t="str">
        <f t="shared" si="0"/>
        <v/>
      </c>
    </row>
    <row r="49" spans="1:2">
      <c r="A49" s="23" t="s">
        <v>138</v>
      </c>
      <c r="B49" s="27" t="str">
        <f t="shared" si="0"/>
        <v xml:space="preserve">  while (WiFi.status() != WL_CONNECTED) {\n</v>
      </c>
    </row>
    <row r="50" spans="1:2">
      <c r="A50" s="23" t="s">
        <v>139</v>
      </c>
      <c r="B50" s="27" t="str">
        <f t="shared" si="0"/>
        <v xml:space="preserve">    delay(500);\n</v>
      </c>
    </row>
    <row r="51" spans="1:2">
      <c r="A51" s="23" t="s">
        <v>140</v>
      </c>
      <c r="B51" s="27" t="str">
        <f t="shared" si="0"/>
        <v xml:space="preserve">    Serial.print(".");\n</v>
      </c>
    </row>
    <row r="52" spans="1:2">
      <c r="A52" s="23" t="s">
        <v>11</v>
      </c>
      <c r="B52" s="27" t="str">
        <f t="shared" si="0"/>
        <v xml:space="preserve">  }\n</v>
      </c>
    </row>
    <row r="53" spans="1:2">
      <c r="A53" s="23"/>
      <c r="B53" s="27" t="str">
        <f t="shared" si="0"/>
        <v/>
      </c>
    </row>
    <row r="54" spans="1:2">
      <c r="A54" s="23" t="s">
        <v>141</v>
      </c>
      <c r="B54" s="27" t="str">
        <f t="shared" si="0"/>
        <v xml:space="preserve">  Serial.println("");\n</v>
      </c>
    </row>
    <row r="55" spans="1:2">
      <c r="A55" s="23" t="s">
        <v>142</v>
      </c>
      <c r="B55" s="27" t="str">
        <f t="shared" si="0"/>
        <v xml:space="preserve">  Serial.println("WiFi connected");\n</v>
      </c>
    </row>
    <row r="56" spans="1:2">
      <c r="A56" s="23" t="s">
        <v>143</v>
      </c>
      <c r="B56" s="27" t="str">
        <f t="shared" si="0"/>
        <v xml:space="preserve">  Serial.println("IP address: ");\n</v>
      </c>
    </row>
    <row r="57" spans="1:2">
      <c r="A57" s="23" t="s">
        <v>144</v>
      </c>
      <c r="B57" s="27" t="str">
        <f t="shared" si="0"/>
        <v xml:space="preserve">  Serial.println(WiFi.localIP());\n</v>
      </c>
    </row>
    <row r="58" spans="1:2">
      <c r="A58" s="23" t="s">
        <v>12</v>
      </c>
      <c r="B58" s="27" t="str">
        <f t="shared" si="0"/>
        <v>}\n</v>
      </c>
    </row>
    <row r="59" spans="1:2">
      <c r="A59" s="3"/>
      <c r="B59" s="27" t="str">
        <f t="shared" si="0"/>
        <v/>
      </c>
    </row>
    <row r="60" spans="1:2">
      <c r="A60" s="23" t="s">
        <v>145</v>
      </c>
      <c r="B60" s="27" t="str">
        <f t="shared" si="0"/>
        <v>//傳送訊息：ESP32→Mega\n</v>
      </c>
    </row>
    <row r="61" spans="1:2">
      <c r="A61" s="23" t="s">
        <v>146</v>
      </c>
      <c r="B61" s="27" t="str">
        <f t="shared" si="0"/>
        <v>void UartSentToMega(String msg) {\n</v>
      </c>
    </row>
    <row r="62" spans="1:2">
      <c r="A62" s="23" t="s">
        <v>147</v>
      </c>
      <c r="B62" s="27" t="str">
        <f t="shared" si="0"/>
        <v xml:space="preserve">  MegaSerial.print(msg);\n</v>
      </c>
    </row>
    <row r="63" spans="1:2">
      <c r="A63" s="23" t="s">
        <v>12</v>
      </c>
      <c r="B63" s="27" t="str">
        <f t="shared" si="0"/>
        <v>}\n</v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4327C-1325-4970-B6EC-DA9AF66D424F}">
  <dimension ref="A1:L88"/>
  <sheetViews>
    <sheetView topLeftCell="B1" workbookViewId="0">
      <selection activeCell="J6" sqref="J6"/>
    </sheetView>
  </sheetViews>
  <sheetFormatPr defaultRowHeight="16.5"/>
  <cols>
    <col min="1" max="1" width="22" customWidth="1"/>
    <col min="2" max="2" width="6" customWidth="1"/>
    <col min="3" max="3" width="21.25" style="3" customWidth="1"/>
    <col min="4" max="4" width="7.625" customWidth="1"/>
    <col min="5" max="5" width="20.5" style="3" customWidth="1"/>
    <col min="6" max="6" width="6.25" customWidth="1"/>
    <col min="7" max="7" width="17.75" customWidth="1"/>
    <col min="8" max="8" width="16.375" customWidth="1"/>
  </cols>
  <sheetData>
    <row r="1" spans="1:12">
      <c r="A1" t="s">
        <v>153</v>
      </c>
      <c r="C1" s="3" t="s">
        <v>155</v>
      </c>
      <c r="E1" s="3" t="s">
        <v>154</v>
      </c>
      <c r="G1" t="s">
        <v>10</v>
      </c>
      <c r="H1" s="8" t="str">
        <f>"Blockly.Arduino.functions_['"&amp;H2&amp;"'] = '"&amp;H3&amp;"' + '"&amp;H4&amp;"' + '"&amp;H5&amp;"';"</f>
        <v>Blockly.Arduino.functions_['imi_esp32car_getArduino_func'] = '//接收訊息：Mega→ESP32\nvoid UartGetFromMega() {  \n  while (MegaSerial.available()) {\n    String str = MegaSerial.readString();\n    Serial.println(str);\n' + 'statements_msg' + '}//while\n}\n';</v>
      </c>
      <c r="I1" t="s">
        <v>4</v>
      </c>
    </row>
    <row r="2" spans="1:12">
      <c r="A2" s="23" t="s">
        <v>156</v>
      </c>
      <c r="B2" s="27" t="str">
        <f>IF(NOT(ISBLANK(A2)),A2&amp;"\n","")</f>
        <v>//接收訊息：Mega→ESP32\n</v>
      </c>
      <c r="C2" s="30" t="s">
        <v>162</v>
      </c>
      <c r="D2" s="27" t="str">
        <f>IF(NOT(ISBLANK(C2)),C2,"")</f>
        <v>statements_msg</v>
      </c>
      <c r="E2" s="23" t="s">
        <v>161</v>
      </c>
      <c r="F2" s="27" t="str">
        <f>IF(NOT(ISBLANK(E2)),E2&amp;"\n","")</f>
        <v>}//while\n</v>
      </c>
      <c r="G2" s="4" t="s">
        <v>9</v>
      </c>
      <c r="H2" s="5" t="str">
        <f>變數!$A$4</f>
        <v>imi_esp32car_getArduino_func</v>
      </c>
    </row>
    <row r="3" spans="1:12">
      <c r="A3" s="23" t="s">
        <v>157</v>
      </c>
      <c r="B3" s="27" t="str">
        <f t="shared" ref="B3:B66" si="0">IF(NOT(ISBLANK(A3)),A3&amp;"\n","")</f>
        <v>void UartGetFromMega() {  \n</v>
      </c>
      <c r="C3" s="29"/>
      <c r="D3" s="27" t="str">
        <f t="shared" ref="D3:D66" si="1">IF(NOT(ISBLANK(C3)),C3,"")</f>
        <v/>
      </c>
      <c r="E3" s="23" t="s">
        <v>12</v>
      </c>
      <c r="F3" s="27" t="str">
        <f t="shared" ref="F3:F66" si="2">IF(NOT(ISBLANK(E3)),E3&amp;"\n","")</f>
        <v>}\n</v>
      </c>
      <c r="G3" s="5" t="s">
        <v>177</v>
      </c>
      <c r="H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>//接收訊息：Mega→ESP32\nvoid UartGetFromMega() {  \n  while (MegaSerial.available()) {\n    String str = MegaSerial.readString();\n    Serial.println(str);\n</v>
      </c>
      <c r="I3" s="31"/>
      <c r="J3" s="31"/>
      <c r="K3" s="31"/>
      <c r="L3" s="31"/>
    </row>
    <row r="4" spans="1:12">
      <c r="A4" s="23" t="s">
        <v>158</v>
      </c>
      <c r="B4" s="27" t="str">
        <f t="shared" si="0"/>
        <v xml:space="preserve">  while (MegaSerial.available()) {\n</v>
      </c>
      <c r="C4" s="29"/>
      <c r="D4" s="27" t="str">
        <f t="shared" si="1"/>
        <v/>
      </c>
      <c r="E4" s="29"/>
      <c r="F4" s="27" t="str">
        <f t="shared" si="2"/>
        <v/>
      </c>
      <c r="G4" s="5" t="s">
        <v>178</v>
      </c>
      <c r="H4" s="4" t="str">
        <f>D2</f>
        <v>statements_msg</v>
      </c>
    </row>
    <row r="5" spans="1:12">
      <c r="A5" s="23" t="s">
        <v>159</v>
      </c>
      <c r="B5" s="27" t="str">
        <f t="shared" si="0"/>
        <v xml:space="preserve">    String str = MegaSerial.readString();\n</v>
      </c>
      <c r="C5" s="29"/>
      <c r="D5" s="27" t="str">
        <f t="shared" si="1"/>
        <v/>
      </c>
      <c r="E5" s="29"/>
      <c r="F5" s="27" t="str">
        <f t="shared" si="2"/>
        <v/>
      </c>
      <c r="G5" s="5" t="s">
        <v>179</v>
      </c>
      <c r="H5" s="4" t="str">
        <f>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</f>
        <v>}//while\n}\n</v>
      </c>
    </row>
    <row r="6" spans="1:12">
      <c r="A6" s="23" t="s">
        <v>160</v>
      </c>
      <c r="B6" s="27" t="str">
        <f t="shared" si="0"/>
        <v xml:space="preserve">    Serial.println(str);\n</v>
      </c>
      <c r="C6" s="29"/>
      <c r="D6" s="27" t="str">
        <f t="shared" si="1"/>
        <v/>
      </c>
      <c r="E6" s="29"/>
      <c r="F6" s="27" t="str">
        <f t="shared" si="2"/>
        <v/>
      </c>
    </row>
    <row r="7" spans="1:12">
      <c r="A7" s="23"/>
      <c r="B7" s="27" t="str">
        <f t="shared" si="0"/>
        <v/>
      </c>
      <c r="C7" s="29"/>
      <c r="D7" s="27" t="str">
        <f t="shared" si="1"/>
        <v/>
      </c>
      <c r="E7" s="29"/>
      <c r="F7" s="27" t="str">
        <f t="shared" si="2"/>
        <v/>
      </c>
    </row>
    <row r="8" spans="1:12">
      <c r="A8" s="23"/>
      <c r="B8" s="27" t="str">
        <f t="shared" si="0"/>
        <v/>
      </c>
      <c r="C8" s="29"/>
      <c r="D8" s="27" t="str">
        <f t="shared" si="1"/>
        <v/>
      </c>
      <c r="E8" s="29"/>
      <c r="F8" s="27" t="str">
        <f t="shared" si="2"/>
        <v/>
      </c>
    </row>
    <row r="9" spans="1:12">
      <c r="A9" s="23"/>
      <c r="B9" s="27" t="str">
        <f t="shared" si="0"/>
        <v/>
      </c>
      <c r="C9" s="29"/>
      <c r="D9" s="27" t="str">
        <f t="shared" si="1"/>
        <v/>
      </c>
      <c r="E9" s="29"/>
      <c r="F9" s="27" t="str">
        <f t="shared" si="2"/>
        <v/>
      </c>
    </row>
    <row r="10" spans="1:12">
      <c r="A10" s="23"/>
      <c r="B10" s="27" t="str">
        <f t="shared" si="0"/>
        <v/>
      </c>
      <c r="C10" s="29"/>
      <c r="D10" s="27" t="str">
        <f t="shared" si="1"/>
        <v/>
      </c>
      <c r="E10" s="29"/>
      <c r="F10" s="27" t="str">
        <f t="shared" si="2"/>
        <v/>
      </c>
    </row>
    <row r="11" spans="1:12">
      <c r="A11" s="23"/>
      <c r="B11" s="27" t="str">
        <f t="shared" si="0"/>
        <v/>
      </c>
      <c r="C11" s="29"/>
      <c r="D11" s="27" t="str">
        <f t="shared" si="1"/>
        <v/>
      </c>
      <c r="E11" s="29"/>
      <c r="F11" s="27" t="str">
        <f t="shared" si="2"/>
        <v/>
      </c>
    </row>
    <row r="12" spans="1:12">
      <c r="A12" s="23"/>
      <c r="B12" s="27" t="str">
        <f t="shared" si="0"/>
        <v/>
      </c>
      <c r="C12" s="29"/>
      <c r="D12" s="27" t="str">
        <f t="shared" si="1"/>
        <v/>
      </c>
      <c r="E12" s="29"/>
      <c r="F12" s="27" t="str">
        <f t="shared" si="2"/>
        <v/>
      </c>
    </row>
    <row r="13" spans="1:12">
      <c r="A13" s="23"/>
      <c r="B13" s="27" t="str">
        <f t="shared" si="0"/>
        <v/>
      </c>
      <c r="C13" s="29"/>
      <c r="D13" s="27" t="str">
        <f t="shared" si="1"/>
        <v/>
      </c>
      <c r="E13" s="29"/>
      <c r="F13" s="27" t="str">
        <f t="shared" si="2"/>
        <v/>
      </c>
    </row>
    <row r="14" spans="1:12">
      <c r="A14" s="23"/>
      <c r="B14" s="27" t="str">
        <f t="shared" si="0"/>
        <v/>
      </c>
      <c r="C14" s="29"/>
      <c r="D14" s="27" t="str">
        <f t="shared" si="1"/>
        <v/>
      </c>
      <c r="E14" s="29"/>
      <c r="F14" s="27" t="str">
        <f t="shared" si="2"/>
        <v/>
      </c>
    </row>
    <row r="15" spans="1:12">
      <c r="A15" s="23"/>
      <c r="B15" s="27" t="str">
        <f t="shared" si="0"/>
        <v/>
      </c>
      <c r="C15" s="29"/>
      <c r="D15" s="27" t="str">
        <f t="shared" si="1"/>
        <v/>
      </c>
      <c r="E15" s="29"/>
      <c r="F15" s="27" t="str">
        <f t="shared" si="2"/>
        <v/>
      </c>
    </row>
    <row r="16" spans="1:12">
      <c r="A16" s="24"/>
      <c r="B16" s="27" t="str">
        <f t="shared" si="0"/>
        <v/>
      </c>
      <c r="C16" s="29"/>
      <c r="D16" s="27" t="str">
        <f t="shared" si="1"/>
        <v/>
      </c>
      <c r="E16" s="29"/>
      <c r="F16" s="27" t="str">
        <f t="shared" si="2"/>
        <v/>
      </c>
    </row>
    <row r="17" spans="1:6">
      <c r="A17" s="23"/>
      <c r="B17" s="27" t="str">
        <f t="shared" si="0"/>
        <v/>
      </c>
      <c r="C17" s="29"/>
      <c r="D17" s="27" t="str">
        <f t="shared" si="1"/>
        <v/>
      </c>
      <c r="E17" s="29"/>
      <c r="F17" s="27" t="str">
        <f t="shared" si="2"/>
        <v/>
      </c>
    </row>
    <row r="18" spans="1:6">
      <c r="A18" s="23"/>
      <c r="B18" s="27" t="str">
        <f t="shared" si="0"/>
        <v/>
      </c>
      <c r="C18" s="29"/>
      <c r="D18" s="27" t="str">
        <f t="shared" si="1"/>
        <v/>
      </c>
      <c r="E18" s="29"/>
      <c r="F18" s="27" t="str">
        <f t="shared" si="2"/>
        <v/>
      </c>
    </row>
    <row r="19" spans="1:6">
      <c r="A19" s="23"/>
      <c r="B19" s="27" t="str">
        <f t="shared" si="0"/>
        <v/>
      </c>
      <c r="C19" s="29"/>
      <c r="D19" s="27" t="str">
        <f t="shared" si="1"/>
        <v/>
      </c>
      <c r="E19" s="29"/>
      <c r="F19" s="27" t="str">
        <f t="shared" si="2"/>
        <v/>
      </c>
    </row>
    <row r="20" spans="1:6">
      <c r="A20" s="23"/>
      <c r="B20" s="27" t="str">
        <f t="shared" si="0"/>
        <v/>
      </c>
      <c r="C20" s="29"/>
      <c r="D20" s="27" t="str">
        <f t="shared" si="1"/>
        <v/>
      </c>
      <c r="E20" s="29"/>
      <c r="F20" s="27" t="str">
        <f t="shared" si="2"/>
        <v/>
      </c>
    </row>
    <row r="21" spans="1:6">
      <c r="A21" s="23"/>
      <c r="B21" s="27" t="str">
        <f t="shared" si="0"/>
        <v/>
      </c>
      <c r="C21" s="29"/>
      <c r="D21" s="27" t="str">
        <f t="shared" si="1"/>
        <v/>
      </c>
      <c r="E21" s="29"/>
      <c r="F21" s="27" t="str">
        <f t="shared" si="2"/>
        <v/>
      </c>
    </row>
    <row r="22" spans="1:6">
      <c r="A22" s="23"/>
      <c r="B22" s="27" t="str">
        <f t="shared" si="0"/>
        <v/>
      </c>
      <c r="C22" s="29"/>
      <c r="D22" s="27" t="str">
        <f t="shared" si="1"/>
        <v/>
      </c>
      <c r="E22" s="29"/>
      <c r="F22" s="27" t="str">
        <f t="shared" si="2"/>
        <v/>
      </c>
    </row>
    <row r="23" spans="1:6">
      <c r="A23" s="23"/>
      <c r="B23" s="27" t="str">
        <f t="shared" si="0"/>
        <v/>
      </c>
      <c r="C23" s="29"/>
      <c r="D23" s="27" t="str">
        <f t="shared" si="1"/>
        <v/>
      </c>
      <c r="E23" s="29"/>
      <c r="F23" s="27" t="str">
        <f t="shared" si="2"/>
        <v/>
      </c>
    </row>
    <row r="24" spans="1:6">
      <c r="A24" s="23"/>
      <c r="B24" s="27" t="str">
        <f t="shared" si="0"/>
        <v/>
      </c>
      <c r="C24" s="29"/>
      <c r="D24" s="27" t="str">
        <f t="shared" si="1"/>
        <v/>
      </c>
      <c r="E24" s="29"/>
      <c r="F24" s="27" t="str">
        <f t="shared" si="2"/>
        <v/>
      </c>
    </row>
    <row r="25" spans="1:6">
      <c r="A25" s="23"/>
      <c r="B25" s="27" t="str">
        <f t="shared" si="0"/>
        <v/>
      </c>
      <c r="C25" s="29"/>
      <c r="D25" s="27" t="str">
        <f t="shared" si="1"/>
        <v/>
      </c>
      <c r="E25" s="29"/>
      <c r="F25" s="27" t="str">
        <f t="shared" si="2"/>
        <v/>
      </c>
    </row>
    <row r="26" spans="1:6">
      <c r="A26" s="23"/>
      <c r="B26" s="27" t="str">
        <f t="shared" si="0"/>
        <v/>
      </c>
      <c r="C26" s="29"/>
      <c r="D26" s="27" t="str">
        <f t="shared" si="1"/>
        <v/>
      </c>
      <c r="E26" s="29"/>
      <c r="F26" s="27" t="str">
        <f t="shared" si="2"/>
        <v/>
      </c>
    </row>
    <row r="27" spans="1:6">
      <c r="A27" s="23"/>
      <c r="B27" s="27" t="str">
        <f t="shared" si="0"/>
        <v/>
      </c>
      <c r="C27" s="29"/>
      <c r="D27" s="27" t="str">
        <f t="shared" si="1"/>
        <v/>
      </c>
      <c r="E27" s="29"/>
      <c r="F27" s="27" t="str">
        <f t="shared" si="2"/>
        <v/>
      </c>
    </row>
    <row r="28" spans="1:6">
      <c r="A28" s="23"/>
      <c r="B28" s="27" t="str">
        <f t="shared" si="0"/>
        <v/>
      </c>
      <c r="C28" s="29"/>
      <c r="D28" s="27" t="str">
        <f t="shared" si="1"/>
        <v/>
      </c>
      <c r="E28" s="29"/>
      <c r="F28" s="27" t="str">
        <f t="shared" si="2"/>
        <v/>
      </c>
    </row>
    <row r="29" spans="1:6">
      <c r="A29" s="23"/>
      <c r="B29" s="27" t="str">
        <f t="shared" si="0"/>
        <v/>
      </c>
      <c r="C29" s="29"/>
      <c r="D29" s="27" t="str">
        <f t="shared" si="1"/>
        <v/>
      </c>
      <c r="E29" s="29"/>
      <c r="F29" s="27" t="str">
        <f t="shared" si="2"/>
        <v/>
      </c>
    </row>
    <row r="30" spans="1:6">
      <c r="A30" s="23"/>
      <c r="B30" s="27" t="str">
        <f t="shared" si="0"/>
        <v/>
      </c>
      <c r="C30" s="29"/>
      <c r="D30" s="27" t="str">
        <f t="shared" si="1"/>
        <v/>
      </c>
      <c r="E30" s="29"/>
      <c r="F30" s="27" t="str">
        <f t="shared" si="2"/>
        <v/>
      </c>
    </row>
    <row r="31" spans="1:6">
      <c r="A31" s="23"/>
      <c r="B31" s="27" t="str">
        <f t="shared" si="0"/>
        <v/>
      </c>
      <c r="C31" s="29"/>
      <c r="D31" s="27" t="str">
        <f t="shared" si="1"/>
        <v/>
      </c>
      <c r="E31" s="29"/>
      <c r="F31" s="27" t="str">
        <f t="shared" si="2"/>
        <v/>
      </c>
    </row>
    <row r="32" spans="1:6">
      <c r="A32" s="23"/>
      <c r="B32" s="27" t="str">
        <f t="shared" si="0"/>
        <v/>
      </c>
      <c r="C32" s="29"/>
      <c r="D32" s="27" t="str">
        <f t="shared" si="1"/>
        <v/>
      </c>
      <c r="E32" s="29"/>
      <c r="F32" s="27" t="str">
        <f t="shared" si="2"/>
        <v/>
      </c>
    </row>
    <row r="33" spans="1:6">
      <c r="A33" s="23"/>
      <c r="B33" s="27" t="str">
        <f t="shared" si="0"/>
        <v/>
      </c>
      <c r="C33" s="29"/>
      <c r="D33" s="27" t="str">
        <f t="shared" si="1"/>
        <v/>
      </c>
      <c r="E33" s="29"/>
      <c r="F33" s="27" t="str">
        <f t="shared" si="2"/>
        <v/>
      </c>
    </row>
    <row r="34" spans="1:6">
      <c r="A34" s="23"/>
      <c r="B34" s="27" t="str">
        <f t="shared" si="0"/>
        <v/>
      </c>
      <c r="C34" s="29"/>
      <c r="D34" s="27" t="str">
        <f t="shared" si="1"/>
        <v/>
      </c>
      <c r="E34" s="29"/>
      <c r="F34" s="27" t="str">
        <f t="shared" si="2"/>
        <v/>
      </c>
    </row>
    <row r="35" spans="1:6">
      <c r="A35" s="23"/>
      <c r="B35" s="27" t="str">
        <f t="shared" si="0"/>
        <v/>
      </c>
      <c r="C35" s="29"/>
      <c r="D35" s="27" t="str">
        <f t="shared" si="1"/>
        <v/>
      </c>
      <c r="E35" s="29"/>
      <c r="F35" s="27" t="str">
        <f t="shared" si="2"/>
        <v/>
      </c>
    </row>
    <row r="36" spans="1:6">
      <c r="A36" s="23"/>
      <c r="B36" s="27" t="str">
        <f t="shared" si="0"/>
        <v/>
      </c>
      <c r="C36" s="29"/>
      <c r="D36" s="27" t="str">
        <f t="shared" si="1"/>
        <v/>
      </c>
      <c r="E36" s="29"/>
      <c r="F36" s="27" t="str">
        <f t="shared" si="2"/>
        <v/>
      </c>
    </row>
    <row r="37" spans="1:6">
      <c r="A37" s="23"/>
      <c r="B37" s="27" t="str">
        <f t="shared" si="0"/>
        <v/>
      </c>
      <c r="C37" s="29"/>
      <c r="D37" s="27" t="str">
        <f t="shared" si="1"/>
        <v/>
      </c>
      <c r="E37" s="29"/>
      <c r="F37" s="27" t="str">
        <f t="shared" si="2"/>
        <v/>
      </c>
    </row>
    <row r="38" spans="1:6">
      <c r="A38" s="23"/>
      <c r="B38" s="27" t="str">
        <f t="shared" si="0"/>
        <v/>
      </c>
      <c r="C38" s="29"/>
      <c r="D38" s="27" t="str">
        <f t="shared" si="1"/>
        <v/>
      </c>
      <c r="E38" s="29"/>
      <c r="F38" s="27" t="str">
        <f t="shared" si="2"/>
        <v/>
      </c>
    </row>
    <row r="39" spans="1:6">
      <c r="A39" s="3"/>
      <c r="B39" s="27" t="str">
        <f t="shared" si="0"/>
        <v/>
      </c>
      <c r="C39" s="29"/>
      <c r="D39" s="27" t="str">
        <f t="shared" si="1"/>
        <v/>
      </c>
      <c r="E39" s="29"/>
      <c r="F39" s="27" t="str">
        <f t="shared" si="2"/>
        <v/>
      </c>
    </row>
    <row r="40" spans="1:6">
      <c r="A40" s="23"/>
      <c r="B40" s="27" t="str">
        <f t="shared" si="0"/>
        <v/>
      </c>
      <c r="C40" s="29"/>
      <c r="D40" s="27" t="str">
        <f t="shared" si="1"/>
        <v/>
      </c>
      <c r="E40" s="29"/>
      <c r="F40" s="27" t="str">
        <f t="shared" si="2"/>
        <v/>
      </c>
    </row>
    <row r="41" spans="1:6">
      <c r="A41" s="23"/>
      <c r="B41" s="27" t="str">
        <f t="shared" si="0"/>
        <v/>
      </c>
      <c r="C41" s="29"/>
      <c r="D41" s="27" t="str">
        <f t="shared" si="1"/>
        <v/>
      </c>
      <c r="E41" s="29"/>
      <c r="F41" s="27" t="str">
        <f t="shared" si="2"/>
        <v/>
      </c>
    </row>
    <row r="42" spans="1:6">
      <c r="A42" s="23"/>
      <c r="B42" s="27" t="str">
        <f t="shared" si="0"/>
        <v/>
      </c>
      <c r="C42" s="29"/>
      <c r="D42" s="27" t="str">
        <f t="shared" si="1"/>
        <v/>
      </c>
      <c r="E42" s="29"/>
      <c r="F42" s="27" t="str">
        <f t="shared" si="2"/>
        <v/>
      </c>
    </row>
    <row r="43" spans="1:6">
      <c r="A43" s="23"/>
      <c r="B43" s="27" t="str">
        <f t="shared" si="0"/>
        <v/>
      </c>
      <c r="C43" s="29"/>
      <c r="D43" s="27" t="str">
        <f t="shared" si="1"/>
        <v/>
      </c>
      <c r="E43" s="29"/>
      <c r="F43" s="27" t="str">
        <f t="shared" si="2"/>
        <v/>
      </c>
    </row>
    <row r="44" spans="1:6">
      <c r="A44" s="23"/>
      <c r="B44" s="27" t="str">
        <f t="shared" si="0"/>
        <v/>
      </c>
      <c r="C44" s="29"/>
      <c r="D44" s="27" t="str">
        <f t="shared" si="1"/>
        <v/>
      </c>
      <c r="E44" s="29"/>
      <c r="F44" s="27" t="str">
        <f t="shared" si="2"/>
        <v/>
      </c>
    </row>
    <row r="45" spans="1:6">
      <c r="A45" s="23"/>
      <c r="B45" s="27" t="str">
        <f t="shared" si="0"/>
        <v/>
      </c>
      <c r="C45" s="29"/>
      <c r="D45" s="27" t="str">
        <f t="shared" si="1"/>
        <v/>
      </c>
      <c r="E45" s="29"/>
      <c r="F45" s="27" t="str">
        <f t="shared" si="2"/>
        <v/>
      </c>
    </row>
    <row r="46" spans="1:6">
      <c r="A46" s="23"/>
      <c r="B46" s="27" t="str">
        <f t="shared" si="0"/>
        <v/>
      </c>
      <c r="C46" s="29"/>
      <c r="D46" s="27" t="str">
        <f t="shared" si="1"/>
        <v/>
      </c>
      <c r="E46" s="29"/>
      <c r="F46" s="27" t="str">
        <f t="shared" si="2"/>
        <v/>
      </c>
    </row>
    <row r="47" spans="1:6">
      <c r="A47" s="23"/>
      <c r="B47" s="27" t="str">
        <f t="shared" si="0"/>
        <v/>
      </c>
      <c r="C47" s="29"/>
      <c r="D47" s="27" t="str">
        <f t="shared" si="1"/>
        <v/>
      </c>
      <c r="E47" s="29"/>
      <c r="F47" s="27" t="str">
        <f t="shared" si="2"/>
        <v/>
      </c>
    </row>
    <row r="48" spans="1:6">
      <c r="A48" s="23"/>
      <c r="B48" s="27" t="str">
        <f t="shared" si="0"/>
        <v/>
      </c>
      <c r="C48" s="29"/>
      <c r="D48" s="27" t="str">
        <f t="shared" si="1"/>
        <v/>
      </c>
      <c r="E48" s="29"/>
      <c r="F48" s="27" t="str">
        <f t="shared" si="2"/>
        <v/>
      </c>
    </row>
    <row r="49" spans="1:6">
      <c r="A49" s="23"/>
      <c r="B49" s="27" t="str">
        <f t="shared" si="0"/>
        <v/>
      </c>
      <c r="C49" s="29"/>
      <c r="D49" s="27" t="str">
        <f t="shared" si="1"/>
        <v/>
      </c>
      <c r="E49" s="29"/>
      <c r="F49" s="27" t="str">
        <f t="shared" si="2"/>
        <v/>
      </c>
    </row>
    <row r="50" spans="1:6">
      <c r="A50" s="23"/>
      <c r="B50" s="27" t="str">
        <f t="shared" si="0"/>
        <v/>
      </c>
      <c r="C50" s="29"/>
      <c r="D50" s="27" t="str">
        <f t="shared" si="1"/>
        <v/>
      </c>
      <c r="E50" s="29"/>
      <c r="F50" s="27" t="str">
        <f t="shared" si="2"/>
        <v/>
      </c>
    </row>
    <row r="51" spans="1:6">
      <c r="A51" s="23"/>
      <c r="B51" s="27" t="str">
        <f t="shared" si="0"/>
        <v/>
      </c>
      <c r="C51" s="29"/>
      <c r="D51" s="27" t="str">
        <f t="shared" si="1"/>
        <v/>
      </c>
      <c r="E51" s="29"/>
      <c r="F51" s="27" t="str">
        <f t="shared" si="2"/>
        <v/>
      </c>
    </row>
    <row r="52" spans="1:6">
      <c r="A52" s="23"/>
      <c r="B52" s="27" t="str">
        <f t="shared" si="0"/>
        <v/>
      </c>
      <c r="C52" s="29"/>
      <c r="D52" s="27" t="str">
        <f t="shared" si="1"/>
        <v/>
      </c>
      <c r="E52" s="29"/>
      <c r="F52" s="27" t="str">
        <f t="shared" si="2"/>
        <v/>
      </c>
    </row>
    <row r="53" spans="1:6">
      <c r="A53" s="23"/>
      <c r="B53" s="27" t="str">
        <f t="shared" si="0"/>
        <v/>
      </c>
      <c r="C53" s="29"/>
      <c r="D53" s="27" t="str">
        <f t="shared" si="1"/>
        <v/>
      </c>
      <c r="E53" s="29"/>
      <c r="F53" s="27" t="str">
        <f t="shared" si="2"/>
        <v/>
      </c>
    </row>
    <row r="54" spans="1:6">
      <c r="A54" s="23"/>
      <c r="B54" s="27" t="str">
        <f t="shared" si="0"/>
        <v/>
      </c>
      <c r="C54" s="29"/>
      <c r="D54" s="27" t="str">
        <f t="shared" si="1"/>
        <v/>
      </c>
      <c r="E54" s="29"/>
      <c r="F54" s="27" t="str">
        <f t="shared" si="2"/>
        <v/>
      </c>
    </row>
    <row r="55" spans="1:6">
      <c r="A55" s="23"/>
      <c r="B55" s="27" t="str">
        <f t="shared" si="0"/>
        <v/>
      </c>
      <c r="C55" s="29"/>
      <c r="D55" s="27" t="str">
        <f t="shared" si="1"/>
        <v/>
      </c>
      <c r="E55" s="29"/>
      <c r="F55" s="27" t="str">
        <f t="shared" si="2"/>
        <v/>
      </c>
    </row>
    <row r="56" spans="1:6">
      <c r="A56" s="23"/>
      <c r="B56" s="27" t="str">
        <f t="shared" si="0"/>
        <v/>
      </c>
      <c r="C56" s="29"/>
      <c r="D56" s="27" t="str">
        <f t="shared" si="1"/>
        <v/>
      </c>
      <c r="E56" s="29"/>
      <c r="F56" s="27" t="str">
        <f t="shared" si="2"/>
        <v/>
      </c>
    </row>
    <row r="57" spans="1:6">
      <c r="A57" s="23"/>
      <c r="B57" s="27" t="str">
        <f t="shared" si="0"/>
        <v/>
      </c>
      <c r="C57" s="29"/>
      <c r="D57" s="27" t="str">
        <f t="shared" si="1"/>
        <v/>
      </c>
      <c r="E57" s="29"/>
      <c r="F57" s="27" t="str">
        <f t="shared" si="2"/>
        <v/>
      </c>
    </row>
    <row r="58" spans="1:6">
      <c r="A58" s="23"/>
      <c r="B58" s="27" t="str">
        <f t="shared" si="0"/>
        <v/>
      </c>
      <c r="C58" s="29"/>
      <c r="D58" s="27" t="str">
        <f t="shared" si="1"/>
        <v/>
      </c>
      <c r="E58" s="29"/>
      <c r="F58" s="27" t="str">
        <f t="shared" si="2"/>
        <v/>
      </c>
    </row>
    <row r="59" spans="1:6">
      <c r="A59" s="3"/>
      <c r="B59" s="27" t="str">
        <f t="shared" si="0"/>
        <v/>
      </c>
      <c r="C59" s="29"/>
      <c r="D59" s="27" t="str">
        <f t="shared" si="1"/>
        <v/>
      </c>
      <c r="E59" s="29"/>
      <c r="F59" s="27" t="str">
        <f t="shared" si="2"/>
        <v/>
      </c>
    </row>
    <row r="60" spans="1:6">
      <c r="A60" s="23"/>
      <c r="B60" s="27" t="str">
        <f t="shared" si="0"/>
        <v/>
      </c>
      <c r="C60" s="29"/>
      <c r="D60" s="27" t="str">
        <f t="shared" si="1"/>
        <v/>
      </c>
      <c r="E60" s="29"/>
      <c r="F60" s="27" t="str">
        <f t="shared" si="2"/>
        <v/>
      </c>
    </row>
    <row r="61" spans="1:6">
      <c r="A61" s="23"/>
      <c r="B61" s="27" t="str">
        <f t="shared" si="0"/>
        <v/>
      </c>
      <c r="C61" s="29"/>
      <c r="D61" s="27" t="str">
        <f t="shared" si="1"/>
        <v/>
      </c>
      <c r="E61" s="29"/>
      <c r="F61" s="27" t="str">
        <f t="shared" si="2"/>
        <v/>
      </c>
    </row>
    <row r="62" spans="1:6">
      <c r="A62" s="23"/>
      <c r="B62" s="27" t="str">
        <f t="shared" si="0"/>
        <v/>
      </c>
      <c r="C62" s="29"/>
      <c r="D62" s="27" t="str">
        <f t="shared" si="1"/>
        <v/>
      </c>
      <c r="E62" s="29"/>
      <c r="F62" s="27" t="str">
        <f t="shared" si="2"/>
        <v/>
      </c>
    </row>
    <row r="63" spans="1:6">
      <c r="A63" s="23"/>
      <c r="B63" s="27" t="str">
        <f t="shared" si="0"/>
        <v/>
      </c>
      <c r="C63" s="29"/>
      <c r="D63" s="27" t="str">
        <f t="shared" si="1"/>
        <v/>
      </c>
      <c r="E63" s="29"/>
      <c r="F63" s="27" t="str">
        <f t="shared" si="2"/>
        <v/>
      </c>
    </row>
    <row r="64" spans="1:6">
      <c r="A64" s="3"/>
      <c r="B64" s="27" t="str">
        <f t="shared" si="0"/>
        <v/>
      </c>
      <c r="C64" s="29"/>
      <c r="D64" s="27" t="str">
        <f t="shared" si="1"/>
        <v/>
      </c>
      <c r="E64" s="29"/>
      <c r="F64" s="27" t="str">
        <f t="shared" si="2"/>
        <v/>
      </c>
    </row>
    <row r="65" spans="1:6">
      <c r="A65" s="3"/>
      <c r="B65" s="27" t="str">
        <f t="shared" si="0"/>
        <v/>
      </c>
      <c r="C65" s="29"/>
      <c r="D65" s="27" t="str">
        <f t="shared" si="1"/>
        <v/>
      </c>
      <c r="E65" s="29"/>
      <c r="F65" s="27" t="str">
        <f t="shared" si="2"/>
        <v/>
      </c>
    </row>
    <row r="66" spans="1:6">
      <c r="A66" s="3"/>
      <c r="B66" s="27" t="str">
        <f t="shared" si="0"/>
        <v/>
      </c>
      <c r="C66" s="29"/>
      <c r="D66" s="27" t="str">
        <f t="shared" si="1"/>
        <v/>
      </c>
      <c r="E66" s="29"/>
      <c r="F66" s="27" t="str">
        <f t="shared" si="2"/>
        <v/>
      </c>
    </row>
    <row r="67" spans="1:6">
      <c r="A67" s="3"/>
      <c r="B67" s="27" t="str">
        <f t="shared" ref="B67:B88" si="3">IF(NOT(ISBLANK(A67)),A67&amp;"\n","")</f>
        <v/>
      </c>
      <c r="C67" s="29"/>
      <c r="D67" s="27" t="str">
        <f t="shared" ref="D67:D88" si="4">IF(NOT(ISBLANK(C67)),C67,"")</f>
        <v/>
      </c>
      <c r="E67" s="29"/>
      <c r="F67" s="27" t="str">
        <f t="shared" ref="F67:F88" si="5">IF(NOT(ISBLANK(E67)),E67&amp;"\n","")</f>
        <v/>
      </c>
    </row>
    <row r="68" spans="1:6">
      <c r="A68" s="3"/>
      <c r="B68" s="27" t="str">
        <f t="shared" si="3"/>
        <v/>
      </c>
      <c r="C68" s="29"/>
      <c r="D68" s="27" t="str">
        <f t="shared" si="4"/>
        <v/>
      </c>
      <c r="E68" s="29"/>
      <c r="F68" s="27" t="str">
        <f t="shared" si="5"/>
        <v/>
      </c>
    </row>
    <row r="69" spans="1:6">
      <c r="A69" s="3"/>
      <c r="B69" s="27" t="str">
        <f t="shared" si="3"/>
        <v/>
      </c>
      <c r="C69" s="29"/>
      <c r="D69" s="27" t="str">
        <f t="shared" si="4"/>
        <v/>
      </c>
      <c r="E69" s="29"/>
      <c r="F69" s="27" t="str">
        <f t="shared" si="5"/>
        <v/>
      </c>
    </row>
    <row r="70" spans="1:6">
      <c r="A70" s="3"/>
      <c r="B70" s="27" t="str">
        <f t="shared" si="3"/>
        <v/>
      </c>
      <c r="C70" s="29"/>
      <c r="D70" s="27" t="str">
        <f t="shared" si="4"/>
        <v/>
      </c>
      <c r="E70" s="29"/>
      <c r="F70" s="27" t="str">
        <f t="shared" si="5"/>
        <v/>
      </c>
    </row>
    <row r="71" spans="1:6">
      <c r="A71" s="3"/>
      <c r="B71" s="27" t="str">
        <f t="shared" si="3"/>
        <v/>
      </c>
      <c r="C71" s="29"/>
      <c r="D71" s="27" t="str">
        <f t="shared" si="4"/>
        <v/>
      </c>
      <c r="E71" s="29"/>
      <c r="F71" s="27" t="str">
        <f t="shared" si="5"/>
        <v/>
      </c>
    </row>
    <row r="72" spans="1:6">
      <c r="A72" s="3"/>
      <c r="B72" s="27" t="str">
        <f t="shared" si="3"/>
        <v/>
      </c>
      <c r="C72" s="29"/>
      <c r="D72" s="27" t="str">
        <f t="shared" si="4"/>
        <v/>
      </c>
      <c r="E72" s="29"/>
      <c r="F72" s="27" t="str">
        <f t="shared" si="5"/>
        <v/>
      </c>
    </row>
    <row r="73" spans="1:6">
      <c r="A73" s="3"/>
      <c r="B73" s="27" t="str">
        <f t="shared" si="3"/>
        <v/>
      </c>
      <c r="C73" s="29"/>
      <c r="D73" s="27" t="str">
        <f t="shared" si="4"/>
        <v/>
      </c>
      <c r="E73" s="29"/>
      <c r="F73" s="27" t="str">
        <f t="shared" si="5"/>
        <v/>
      </c>
    </row>
    <row r="74" spans="1:6">
      <c r="A74" s="3"/>
      <c r="B74" s="27" t="str">
        <f t="shared" si="3"/>
        <v/>
      </c>
      <c r="C74" s="29"/>
      <c r="D74" s="27" t="str">
        <f t="shared" si="4"/>
        <v/>
      </c>
      <c r="E74" s="29"/>
      <c r="F74" s="27" t="str">
        <f t="shared" si="5"/>
        <v/>
      </c>
    </row>
    <row r="75" spans="1:6">
      <c r="A75" s="3"/>
      <c r="B75" s="27" t="str">
        <f t="shared" si="3"/>
        <v/>
      </c>
      <c r="C75" s="29"/>
      <c r="D75" s="27" t="str">
        <f t="shared" si="4"/>
        <v/>
      </c>
      <c r="E75" s="29"/>
      <c r="F75" s="27" t="str">
        <f t="shared" si="5"/>
        <v/>
      </c>
    </row>
    <row r="76" spans="1:6">
      <c r="A76" s="3"/>
      <c r="B76" s="27" t="str">
        <f t="shared" si="3"/>
        <v/>
      </c>
      <c r="C76" s="29"/>
      <c r="D76" s="27" t="str">
        <f t="shared" si="4"/>
        <v/>
      </c>
      <c r="E76" s="29"/>
      <c r="F76" s="27" t="str">
        <f t="shared" si="5"/>
        <v/>
      </c>
    </row>
    <row r="77" spans="1:6">
      <c r="A77" s="3"/>
      <c r="B77" s="27" t="str">
        <f t="shared" si="3"/>
        <v/>
      </c>
      <c r="C77" s="29"/>
      <c r="D77" s="27" t="str">
        <f t="shared" si="4"/>
        <v/>
      </c>
      <c r="E77" s="29"/>
      <c r="F77" s="27" t="str">
        <f t="shared" si="5"/>
        <v/>
      </c>
    </row>
    <row r="78" spans="1:6">
      <c r="A78" s="3"/>
      <c r="B78" s="27" t="str">
        <f t="shared" si="3"/>
        <v/>
      </c>
      <c r="C78" s="29"/>
      <c r="D78" s="27" t="str">
        <f t="shared" si="4"/>
        <v/>
      </c>
      <c r="E78" s="29"/>
      <c r="F78" s="27" t="str">
        <f t="shared" si="5"/>
        <v/>
      </c>
    </row>
    <row r="79" spans="1:6">
      <c r="A79" s="3"/>
      <c r="B79" s="27" t="str">
        <f t="shared" si="3"/>
        <v/>
      </c>
      <c r="C79" s="29"/>
      <c r="D79" s="27" t="str">
        <f t="shared" si="4"/>
        <v/>
      </c>
      <c r="E79" s="29"/>
      <c r="F79" s="27" t="str">
        <f t="shared" si="5"/>
        <v/>
      </c>
    </row>
    <row r="80" spans="1:6">
      <c r="A80" s="3"/>
      <c r="B80" s="27" t="str">
        <f t="shared" si="3"/>
        <v/>
      </c>
      <c r="C80" s="29"/>
      <c r="D80" s="27" t="str">
        <f t="shared" si="4"/>
        <v/>
      </c>
      <c r="E80" s="29"/>
      <c r="F80" s="27" t="str">
        <f t="shared" si="5"/>
        <v/>
      </c>
    </row>
    <row r="81" spans="1:6">
      <c r="A81" s="3"/>
      <c r="B81" s="27" t="str">
        <f t="shared" si="3"/>
        <v/>
      </c>
      <c r="C81" s="29"/>
      <c r="D81" s="27" t="str">
        <f t="shared" si="4"/>
        <v/>
      </c>
      <c r="E81" s="29"/>
      <c r="F81" s="27" t="str">
        <f t="shared" si="5"/>
        <v/>
      </c>
    </row>
    <row r="82" spans="1:6">
      <c r="A82" s="3"/>
      <c r="B82" s="27" t="str">
        <f t="shared" si="3"/>
        <v/>
      </c>
      <c r="C82" s="29"/>
      <c r="D82" s="27" t="str">
        <f t="shared" si="4"/>
        <v/>
      </c>
      <c r="E82" s="29"/>
      <c r="F82" s="27" t="str">
        <f t="shared" si="5"/>
        <v/>
      </c>
    </row>
    <row r="83" spans="1:6">
      <c r="A83" s="3"/>
      <c r="B83" s="27" t="str">
        <f t="shared" si="3"/>
        <v/>
      </c>
      <c r="C83" s="29"/>
      <c r="D83" s="27" t="str">
        <f t="shared" si="4"/>
        <v/>
      </c>
      <c r="E83" s="29"/>
      <c r="F83" s="27" t="str">
        <f t="shared" si="5"/>
        <v/>
      </c>
    </row>
    <row r="84" spans="1:6">
      <c r="A84" s="3"/>
      <c r="B84" s="27" t="str">
        <f t="shared" si="3"/>
        <v/>
      </c>
      <c r="C84" s="29"/>
      <c r="D84" s="27" t="str">
        <f t="shared" si="4"/>
        <v/>
      </c>
      <c r="E84" s="29"/>
      <c r="F84" s="27" t="str">
        <f t="shared" si="5"/>
        <v/>
      </c>
    </row>
    <row r="85" spans="1:6">
      <c r="A85" s="3"/>
      <c r="B85" s="27" t="str">
        <f t="shared" si="3"/>
        <v/>
      </c>
      <c r="C85" s="29"/>
      <c r="D85" s="27" t="str">
        <f t="shared" si="4"/>
        <v/>
      </c>
      <c r="E85" s="29"/>
      <c r="F85" s="27" t="str">
        <f t="shared" si="5"/>
        <v/>
      </c>
    </row>
    <row r="86" spans="1:6">
      <c r="A86" s="3"/>
      <c r="B86" s="27" t="str">
        <f t="shared" si="3"/>
        <v/>
      </c>
      <c r="C86" s="29"/>
      <c r="D86" s="27" t="str">
        <f t="shared" si="4"/>
        <v/>
      </c>
      <c r="E86" s="29"/>
      <c r="F86" s="27" t="str">
        <f t="shared" si="5"/>
        <v/>
      </c>
    </row>
    <row r="87" spans="1:6">
      <c r="A87" s="3"/>
      <c r="B87" s="27" t="str">
        <f t="shared" si="3"/>
        <v/>
      </c>
      <c r="C87" s="29"/>
      <c r="D87" s="27" t="str">
        <f t="shared" si="4"/>
        <v/>
      </c>
      <c r="E87" s="29"/>
      <c r="F87" s="27" t="str">
        <f t="shared" si="5"/>
        <v/>
      </c>
    </row>
    <row r="88" spans="1:6">
      <c r="A88" s="3"/>
      <c r="B88" s="27" t="str">
        <f t="shared" si="3"/>
        <v/>
      </c>
      <c r="C88" s="29"/>
      <c r="D88" s="27" t="str">
        <f t="shared" si="4"/>
        <v/>
      </c>
      <c r="E88" s="29"/>
      <c r="F88" s="27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8"/>
  <sheetViews>
    <sheetView zoomScale="85" zoomScaleNormal="85" workbookViewId="0">
      <selection activeCell="D9" sqref="D9"/>
    </sheetView>
  </sheetViews>
  <sheetFormatPr defaultRowHeight="16.5"/>
  <cols>
    <col min="1" max="1" width="29" customWidth="1"/>
    <col min="2" max="2" width="23.75" customWidth="1"/>
    <col min="4" max="4" width="27" customWidth="1"/>
    <col min="5" max="5" width="42" customWidth="1"/>
  </cols>
  <sheetData>
    <row r="1" spans="1:5">
      <c r="A1" t="s">
        <v>126</v>
      </c>
      <c r="C1" s="7" t="str">
        <f>"var code ='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';"</f>
        <v>var code ='//MQTT啟動\n  client.loop();\n  //接收訊息：Mega→ESP32\n    UartGetFromMega();\n';</v>
      </c>
      <c r="D1" t="s">
        <v>2</v>
      </c>
      <c r="E1" s="7" t="str">
        <f>"var code ="&amp;E3&amp;E5&amp;";"</f>
        <v>var code =;</v>
      </c>
    </row>
    <row r="2" spans="1:5">
      <c r="A2" s="23" t="s">
        <v>149</v>
      </c>
      <c r="B2" s="27" t="str">
        <f>IF(NOT(ISBLANK(A2)),A2&amp;"\n","")</f>
        <v>//MQTT啟動\n</v>
      </c>
      <c r="D2" s="22"/>
      <c r="E2" s="11"/>
    </row>
    <row r="3" spans="1:5">
      <c r="A3" s="23" t="s">
        <v>150</v>
      </c>
      <c r="B3" s="27" t="str">
        <f t="shared" ref="B3:B66" si="0">IF(NOT(ISBLANK(A3)),A3&amp;"\n","")</f>
        <v xml:space="preserve">  client.loop();\n</v>
      </c>
      <c r="D3" s="9"/>
      <c r="E3" s="12"/>
    </row>
    <row r="4" spans="1:5">
      <c r="A4" s="24"/>
      <c r="B4" s="27" t="str">
        <f t="shared" si="0"/>
        <v/>
      </c>
      <c r="D4" s="22"/>
      <c r="E4" s="13"/>
    </row>
    <row r="5" spans="1:5">
      <c r="A5" s="24" t="s">
        <v>151</v>
      </c>
      <c r="B5" s="27" t="str">
        <f t="shared" si="0"/>
        <v xml:space="preserve">  //接收訊息：Mega→ESP32\n</v>
      </c>
      <c r="D5" s="9"/>
      <c r="E5" s="12"/>
    </row>
    <row r="6" spans="1:5">
      <c r="A6" s="23" t="s">
        <v>152</v>
      </c>
      <c r="B6" s="27" t="str">
        <f t="shared" si="0"/>
        <v xml:space="preserve">    UartGetFromMega();\n</v>
      </c>
      <c r="D6" s="10"/>
      <c r="E6" s="9"/>
    </row>
    <row r="7" spans="1:5">
      <c r="A7" s="23"/>
      <c r="B7" s="27" t="str">
        <f t="shared" si="0"/>
        <v/>
      </c>
      <c r="D7" s="9"/>
      <c r="E7" s="12"/>
    </row>
    <row r="8" spans="1:5">
      <c r="A8" s="23"/>
      <c r="B8" s="27" t="str">
        <f t="shared" si="0"/>
        <v/>
      </c>
      <c r="D8" s="10"/>
      <c r="E8" s="9"/>
    </row>
    <row r="9" spans="1:5">
      <c r="A9" s="23"/>
      <c r="B9" s="27" t="str">
        <f t="shared" si="0"/>
        <v/>
      </c>
      <c r="D9" s="9"/>
      <c r="E9" s="12"/>
    </row>
    <row r="10" spans="1:5">
      <c r="A10" s="23"/>
      <c r="B10" s="27" t="str">
        <f t="shared" si="0"/>
        <v/>
      </c>
      <c r="D10" s="10"/>
      <c r="E10" s="9"/>
    </row>
    <row r="11" spans="1:5">
      <c r="A11" s="23"/>
      <c r="B11" s="27" t="str">
        <f t="shared" si="0"/>
        <v/>
      </c>
      <c r="D11" s="9"/>
      <c r="E11" s="12"/>
    </row>
    <row r="12" spans="1:5">
      <c r="A12" s="23"/>
      <c r="B12" s="27" t="str">
        <f t="shared" si="0"/>
        <v/>
      </c>
      <c r="D12" s="9"/>
      <c r="E12" s="9"/>
    </row>
    <row r="13" spans="1:5">
      <c r="A13" s="23"/>
      <c r="B13" s="27" t="str">
        <f t="shared" si="0"/>
        <v/>
      </c>
      <c r="D13" s="9"/>
      <c r="E13" s="9"/>
    </row>
    <row r="14" spans="1:5">
      <c r="A14" s="23"/>
      <c r="B14" s="27" t="str">
        <f t="shared" si="0"/>
        <v/>
      </c>
      <c r="D14" s="9"/>
      <c r="E14" s="9"/>
    </row>
    <row r="15" spans="1:5">
      <c r="A15" s="23"/>
      <c r="B15" s="27" t="str">
        <f t="shared" si="0"/>
        <v/>
      </c>
    </row>
    <row r="16" spans="1:5">
      <c r="A16" s="24"/>
      <c r="B16" s="27" t="str">
        <f t="shared" si="0"/>
        <v/>
      </c>
    </row>
    <row r="17" spans="1:2">
      <c r="A17" s="23"/>
      <c r="B17" s="27" t="str">
        <f t="shared" si="0"/>
        <v/>
      </c>
    </row>
    <row r="18" spans="1:2">
      <c r="A18" s="23"/>
      <c r="B18" s="27" t="str">
        <f t="shared" si="0"/>
        <v/>
      </c>
    </row>
    <row r="19" spans="1:2">
      <c r="A19" s="23"/>
      <c r="B19" s="27" t="str">
        <f t="shared" si="0"/>
        <v/>
      </c>
    </row>
    <row r="20" spans="1:2">
      <c r="A20" s="23"/>
      <c r="B20" s="27" t="str">
        <f t="shared" si="0"/>
        <v/>
      </c>
    </row>
    <row r="21" spans="1:2">
      <c r="A21" s="23"/>
      <c r="B21" s="27" t="str">
        <f t="shared" si="0"/>
        <v/>
      </c>
    </row>
    <row r="22" spans="1:2">
      <c r="A22" s="23"/>
      <c r="B22" s="27" t="str">
        <f t="shared" si="0"/>
        <v/>
      </c>
    </row>
    <row r="23" spans="1:2">
      <c r="A23" s="23"/>
      <c r="B23" s="27" t="str">
        <f t="shared" si="0"/>
        <v/>
      </c>
    </row>
    <row r="24" spans="1:2">
      <c r="A24" s="23"/>
      <c r="B24" s="27" t="str">
        <f t="shared" si="0"/>
        <v/>
      </c>
    </row>
    <row r="25" spans="1:2">
      <c r="A25" s="23"/>
      <c r="B25" s="27" t="str">
        <f t="shared" si="0"/>
        <v/>
      </c>
    </row>
    <row r="26" spans="1:2">
      <c r="A26" s="23"/>
      <c r="B26" s="27" t="str">
        <f t="shared" si="0"/>
        <v/>
      </c>
    </row>
    <row r="27" spans="1:2">
      <c r="A27" s="23"/>
      <c r="B27" s="27" t="str">
        <f t="shared" si="0"/>
        <v/>
      </c>
    </row>
    <row r="28" spans="1:2">
      <c r="A28" s="23"/>
      <c r="B28" s="27" t="str">
        <f t="shared" si="0"/>
        <v/>
      </c>
    </row>
    <row r="29" spans="1:2">
      <c r="A29" s="23"/>
      <c r="B29" s="27" t="str">
        <f t="shared" si="0"/>
        <v/>
      </c>
    </row>
    <row r="30" spans="1:2">
      <c r="A30" s="23"/>
      <c r="B30" s="27" t="str">
        <f t="shared" si="0"/>
        <v/>
      </c>
    </row>
    <row r="31" spans="1:2">
      <c r="A31" s="23"/>
      <c r="B31" s="27" t="str">
        <f t="shared" si="0"/>
        <v/>
      </c>
    </row>
    <row r="32" spans="1:2">
      <c r="A32" s="23"/>
      <c r="B32" s="27" t="str">
        <f t="shared" si="0"/>
        <v/>
      </c>
    </row>
    <row r="33" spans="1:2">
      <c r="A33" s="23"/>
      <c r="B33" s="27" t="str">
        <f t="shared" si="0"/>
        <v/>
      </c>
    </row>
    <row r="34" spans="1:2">
      <c r="A34" s="23"/>
      <c r="B34" s="27" t="str">
        <f t="shared" si="0"/>
        <v/>
      </c>
    </row>
    <row r="35" spans="1:2">
      <c r="A35" s="23"/>
      <c r="B35" s="27" t="str">
        <f t="shared" si="0"/>
        <v/>
      </c>
    </row>
    <row r="36" spans="1:2">
      <c r="A36" s="23"/>
      <c r="B36" s="27" t="str">
        <f t="shared" si="0"/>
        <v/>
      </c>
    </row>
    <row r="37" spans="1:2">
      <c r="A37" s="23"/>
      <c r="B37" s="27" t="str">
        <f t="shared" si="0"/>
        <v/>
      </c>
    </row>
    <row r="38" spans="1:2">
      <c r="A38" s="23"/>
      <c r="B38" s="27" t="str">
        <f t="shared" si="0"/>
        <v/>
      </c>
    </row>
    <row r="39" spans="1:2">
      <c r="A39" s="3"/>
      <c r="B39" s="27" t="str">
        <f t="shared" si="0"/>
        <v/>
      </c>
    </row>
    <row r="40" spans="1:2">
      <c r="A40" s="23"/>
      <c r="B40" s="27" t="str">
        <f t="shared" si="0"/>
        <v/>
      </c>
    </row>
    <row r="41" spans="1:2">
      <c r="A41" s="23"/>
      <c r="B41" s="27" t="str">
        <f t="shared" si="0"/>
        <v/>
      </c>
    </row>
    <row r="42" spans="1:2">
      <c r="A42" s="23"/>
      <c r="B42" s="27" t="str">
        <f t="shared" si="0"/>
        <v/>
      </c>
    </row>
    <row r="43" spans="1:2">
      <c r="A43" s="23"/>
      <c r="B43" s="27" t="str">
        <f t="shared" si="0"/>
        <v/>
      </c>
    </row>
    <row r="44" spans="1:2">
      <c r="A44" s="23"/>
      <c r="B44" s="27" t="str">
        <f t="shared" si="0"/>
        <v/>
      </c>
    </row>
    <row r="45" spans="1:2">
      <c r="A45" s="23"/>
      <c r="B45" s="27" t="str">
        <f t="shared" si="0"/>
        <v/>
      </c>
    </row>
    <row r="46" spans="1:2">
      <c r="A46" s="23"/>
      <c r="B46" s="27" t="str">
        <f t="shared" si="0"/>
        <v/>
      </c>
    </row>
    <row r="47" spans="1:2">
      <c r="A47" s="23"/>
      <c r="B47" s="27" t="str">
        <f t="shared" si="0"/>
        <v/>
      </c>
    </row>
    <row r="48" spans="1:2">
      <c r="A48" s="23"/>
      <c r="B48" s="27" t="str">
        <f t="shared" si="0"/>
        <v/>
      </c>
    </row>
    <row r="49" spans="1:2">
      <c r="A49" s="23"/>
      <c r="B49" s="27" t="str">
        <f t="shared" si="0"/>
        <v/>
      </c>
    </row>
    <row r="50" spans="1:2">
      <c r="A50" s="23"/>
      <c r="B50" s="27" t="str">
        <f t="shared" si="0"/>
        <v/>
      </c>
    </row>
    <row r="51" spans="1:2">
      <c r="A51" s="23"/>
      <c r="B51" s="27" t="str">
        <f t="shared" si="0"/>
        <v/>
      </c>
    </row>
    <row r="52" spans="1:2">
      <c r="A52" s="23"/>
      <c r="B52" s="27" t="str">
        <f t="shared" si="0"/>
        <v/>
      </c>
    </row>
    <row r="53" spans="1:2">
      <c r="A53" s="23"/>
      <c r="B53" s="27" t="str">
        <f t="shared" si="0"/>
        <v/>
      </c>
    </row>
    <row r="54" spans="1:2">
      <c r="A54" s="23"/>
      <c r="B54" s="27" t="str">
        <f t="shared" si="0"/>
        <v/>
      </c>
    </row>
    <row r="55" spans="1:2">
      <c r="A55" s="23"/>
      <c r="B55" s="27" t="str">
        <f t="shared" si="0"/>
        <v/>
      </c>
    </row>
    <row r="56" spans="1:2">
      <c r="A56" s="23"/>
      <c r="B56" s="27" t="str">
        <f t="shared" si="0"/>
        <v/>
      </c>
    </row>
    <row r="57" spans="1:2">
      <c r="A57" s="23"/>
      <c r="B57" s="27" t="str">
        <f t="shared" si="0"/>
        <v/>
      </c>
    </row>
    <row r="58" spans="1:2">
      <c r="A58" s="23"/>
      <c r="B58" s="27" t="str">
        <f t="shared" si="0"/>
        <v/>
      </c>
    </row>
    <row r="59" spans="1:2">
      <c r="A59" s="3"/>
      <c r="B59" s="27" t="str">
        <f t="shared" si="0"/>
        <v/>
      </c>
    </row>
    <row r="60" spans="1:2">
      <c r="A60" s="23"/>
      <c r="B60" s="27" t="str">
        <f t="shared" si="0"/>
        <v/>
      </c>
    </row>
    <row r="61" spans="1:2">
      <c r="A61" s="23"/>
      <c r="B61" s="27" t="str">
        <f t="shared" si="0"/>
        <v/>
      </c>
    </row>
    <row r="62" spans="1:2">
      <c r="A62" s="23"/>
      <c r="B62" s="27" t="str">
        <f t="shared" si="0"/>
        <v/>
      </c>
    </row>
    <row r="63" spans="1:2">
      <c r="A63" s="23"/>
      <c r="B63" s="27" t="str">
        <f t="shared" si="0"/>
        <v/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06547-3B10-4201-918F-930A4CA5473E}">
  <dimension ref="A1:E88"/>
  <sheetViews>
    <sheetView zoomScale="85" zoomScaleNormal="85" workbookViewId="0">
      <selection activeCell="D9" sqref="D9"/>
    </sheetView>
  </sheetViews>
  <sheetFormatPr defaultRowHeight="16.5"/>
  <cols>
    <col min="1" max="1" width="29" customWidth="1"/>
    <col min="2" max="2" width="23.75" customWidth="1"/>
    <col min="4" max="4" width="27" customWidth="1"/>
    <col min="5" max="5" width="42" customWidth="1"/>
  </cols>
  <sheetData>
    <row r="1" spans="1:5">
      <c r="A1" t="s">
        <v>126</v>
      </c>
      <c r="C1" s="7" t="str">
        <f>"var code ='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';"</f>
        <v>var code ='//MQTT啟動\n  client.loop();\n  //接收訊息：Mega→ESP32\n    UartGetFromMega();\n';</v>
      </c>
      <c r="D1" t="s">
        <v>2</v>
      </c>
      <c r="E1" s="7" t="str">
        <f>"var code ="&amp;E3&amp;E5&amp;";"</f>
        <v>var code =;</v>
      </c>
    </row>
    <row r="2" spans="1:5">
      <c r="A2" s="23" t="s">
        <v>149</v>
      </c>
      <c r="B2" s="27" t="str">
        <f>IF(NOT(ISBLANK(A2)),A2&amp;"\n","")</f>
        <v>//MQTT啟動\n</v>
      </c>
      <c r="D2" s="22"/>
      <c r="E2" s="11"/>
    </row>
    <row r="3" spans="1:5">
      <c r="A3" s="23" t="s">
        <v>150</v>
      </c>
      <c r="B3" s="27" t="str">
        <f t="shared" ref="B3:B66" si="0">IF(NOT(ISBLANK(A3)),A3&amp;"\n","")</f>
        <v xml:space="preserve">  client.loop();\n</v>
      </c>
      <c r="D3" s="9"/>
      <c r="E3" s="12"/>
    </row>
    <row r="4" spans="1:5">
      <c r="A4" s="24"/>
      <c r="B4" s="27" t="str">
        <f t="shared" si="0"/>
        <v/>
      </c>
      <c r="D4" s="22"/>
      <c r="E4" s="13"/>
    </row>
    <row r="5" spans="1:5">
      <c r="A5" s="24" t="s">
        <v>151</v>
      </c>
      <c r="B5" s="27" t="str">
        <f t="shared" si="0"/>
        <v xml:space="preserve">  //接收訊息：Mega→ESP32\n</v>
      </c>
      <c r="D5" s="9"/>
      <c r="E5" s="12"/>
    </row>
    <row r="6" spans="1:5">
      <c r="A6" s="23" t="s">
        <v>152</v>
      </c>
      <c r="B6" s="27" t="str">
        <f t="shared" si="0"/>
        <v xml:space="preserve">    UartGetFromMega();\n</v>
      </c>
      <c r="D6" s="10"/>
      <c r="E6" s="9"/>
    </row>
    <row r="7" spans="1:5">
      <c r="A7" s="23"/>
      <c r="B7" s="27" t="str">
        <f t="shared" si="0"/>
        <v/>
      </c>
      <c r="D7" s="9"/>
      <c r="E7" s="12"/>
    </row>
    <row r="8" spans="1:5">
      <c r="A8" s="23"/>
      <c r="B8" s="27" t="str">
        <f t="shared" si="0"/>
        <v/>
      </c>
      <c r="D8" s="10"/>
      <c r="E8" s="9"/>
    </row>
    <row r="9" spans="1:5">
      <c r="A9" s="23"/>
      <c r="B9" s="27" t="str">
        <f t="shared" si="0"/>
        <v/>
      </c>
      <c r="D9" s="9"/>
      <c r="E9" s="12"/>
    </row>
    <row r="10" spans="1:5">
      <c r="A10" s="23"/>
      <c r="B10" s="27" t="str">
        <f t="shared" si="0"/>
        <v/>
      </c>
      <c r="D10" s="10"/>
      <c r="E10" s="9"/>
    </row>
    <row r="11" spans="1:5">
      <c r="A11" s="23"/>
      <c r="B11" s="27" t="str">
        <f t="shared" si="0"/>
        <v/>
      </c>
      <c r="D11" s="9"/>
      <c r="E11" s="12"/>
    </row>
    <row r="12" spans="1:5">
      <c r="A12" s="23"/>
      <c r="B12" s="27" t="str">
        <f t="shared" si="0"/>
        <v/>
      </c>
      <c r="D12" s="9"/>
      <c r="E12" s="9"/>
    </row>
    <row r="13" spans="1:5">
      <c r="A13" s="23"/>
      <c r="B13" s="27" t="str">
        <f t="shared" si="0"/>
        <v/>
      </c>
      <c r="D13" s="9"/>
      <c r="E13" s="9"/>
    </row>
    <row r="14" spans="1:5">
      <c r="A14" s="23"/>
      <c r="B14" s="27" t="str">
        <f t="shared" si="0"/>
        <v/>
      </c>
      <c r="D14" s="9"/>
      <c r="E14" s="9"/>
    </row>
    <row r="15" spans="1:5">
      <c r="A15" s="23"/>
      <c r="B15" s="27" t="str">
        <f t="shared" si="0"/>
        <v/>
      </c>
    </row>
    <row r="16" spans="1:5">
      <c r="A16" s="24"/>
      <c r="B16" s="27" t="str">
        <f t="shared" si="0"/>
        <v/>
      </c>
    </row>
    <row r="17" spans="1:2">
      <c r="A17" s="23"/>
      <c r="B17" s="27" t="str">
        <f t="shared" si="0"/>
        <v/>
      </c>
    </row>
    <row r="18" spans="1:2">
      <c r="A18" s="23"/>
      <c r="B18" s="27" t="str">
        <f t="shared" si="0"/>
        <v/>
      </c>
    </row>
    <row r="19" spans="1:2">
      <c r="A19" s="23"/>
      <c r="B19" s="27" t="str">
        <f t="shared" si="0"/>
        <v/>
      </c>
    </row>
    <row r="20" spans="1:2">
      <c r="A20" s="23"/>
      <c r="B20" s="27" t="str">
        <f t="shared" si="0"/>
        <v/>
      </c>
    </row>
    <row r="21" spans="1:2">
      <c r="A21" s="23"/>
      <c r="B21" s="27" t="str">
        <f t="shared" si="0"/>
        <v/>
      </c>
    </row>
    <row r="22" spans="1:2">
      <c r="A22" s="23"/>
      <c r="B22" s="27" t="str">
        <f t="shared" si="0"/>
        <v/>
      </c>
    </row>
    <row r="23" spans="1:2">
      <c r="A23" s="23"/>
      <c r="B23" s="27" t="str">
        <f t="shared" si="0"/>
        <v/>
      </c>
    </row>
    <row r="24" spans="1:2">
      <c r="A24" s="23"/>
      <c r="B24" s="27" t="str">
        <f t="shared" si="0"/>
        <v/>
      </c>
    </row>
    <row r="25" spans="1:2">
      <c r="A25" s="23"/>
      <c r="B25" s="27" t="str">
        <f t="shared" si="0"/>
        <v/>
      </c>
    </row>
    <row r="26" spans="1:2">
      <c r="A26" s="23"/>
      <c r="B26" s="27" t="str">
        <f t="shared" si="0"/>
        <v/>
      </c>
    </row>
    <row r="27" spans="1:2">
      <c r="A27" s="23"/>
      <c r="B27" s="27" t="str">
        <f t="shared" si="0"/>
        <v/>
      </c>
    </row>
    <row r="28" spans="1:2">
      <c r="A28" s="23"/>
      <c r="B28" s="27" t="str">
        <f t="shared" si="0"/>
        <v/>
      </c>
    </row>
    <row r="29" spans="1:2">
      <c r="A29" s="23"/>
      <c r="B29" s="27" t="str">
        <f t="shared" si="0"/>
        <v/>
      </c>
    </row>
    <row r="30" spans="1:2">
      <c r="A30" s="23"/>
      <c r="B30" s="27" t="str">
        <f t="shared" si="0"/>
        <v/>
      </c>
    </row>
    <row r="31" spans="1:2">
      <c r="A31" s="23"/>
      <c r="B31" s="27" t="str">
        <f t="shared" si="0"/>
        <v/>
      </c>
    </row>
    <row r="32" spans="1:2">
      <c r="A32" s="23"/>
      <c r="B32" s="27" t="str">
        <f t="shared" si="0"/>
        <v/>
      </c>
    </row>
    <row r="33" spans="1:2">
      <c r="A33" s="23"/>
      <c r="B33" s="27" t="str">
        <f t="shared" si="0"/>
        <v/>
      </c>
    </row>
    <row r="34" spans="1:2">
      <c r="A34" s="23"/>
      <c r="B34" s="27" t="str">
        <f t="shared" si="0"/>
        <v/>
      </c>
    </row>
    <row r="35" spans="1:2">
      <c r="A35" s="23"/>
      <c r="B35" s="27" t="str">
        <f t="shared" si="0"/>
        <v/>
      </c>
    </row>
    <row r="36" spans="1:2">
      <c r="A36" s="23"/>
      <c r="B36" s="27" t="str">
        <f t="shared" si="0"/>
        <v/>
      </c>
    </row>
    <row r="37" spans="1:2">
      <c r="A37" s="23"/>
      <c r="B37" s="27" t="str">
        <f t="shared" si="0"/>
        <v/>
      </c>
    </row>
    <row r="38" spans="1:2">
      <c r="A38" s="23"/>
      <c r="B38" s="27" t="str">
        <f t="shared" si="0"/>
        <v/>
      </c>
    </row>
    <row r="39" spans="1:2">
      <c r="A39" s="3"/>
      <c r="B39" s="27" t="str">
        <f t="shared" si="0"/>
        <v/>
      </c>
    </row>
    <row r="40" spans="1:2">
      <c r="A40" s="23"/>
      <c r="B40" s="27" t="str">
        <f t="shared" si="0"/>
        <v/>
      </c>
    </row>
    <row r="41" spans="1:2">
      <c r="A41" s="23"/>
      <c r="B41" s="27" t="str">
        <f t="shared" si="0"/>
        <v/>
      </c>
    </row>
    <row r="42" spans="1:2">
      <c r="A42" s="23"/>
      <c r="B42" s="27" t="str">
        <f t="shared" si="0"/>
        <v/>
      </c>
    </row>
    <row r="43" spans="1:2">
      <c r="A43" s="23"/>
      <c r="B43" s="27" t="str">
        <f t="shared" si="0"/>
        <v/>
      </c>
    </row>
    <row r="44" spans="1:2">
      <c r="A44" s="23"/>
      <c r="B44" s="27" t="str">
        <f t="shared" si="0"/>
        <v/>
      </c>
    </row>
    <row r="45" spans="1:2">
      <c r="A45" s="23"/>
      <c r="B45" s="27" t="str">
        <f t="shared" si="0"/>
        <v/>
      </c>
    </row>
    <row r="46" spans="1:2">
      <c r="A46" s="23"/>
      <c r="B46" s="27" t="str">
        <f t="shared" si="0"/>
        <v/>
      </c>
    </row>
    <row r="47" spans="1:2">
      <c r="A47" s="23"/>
      <c r="B47" s="27" t="str">
        <f t="shared" si="0"/>
        <v/>
      </c>
    </row>
    <row r="48" spans="1:2">
      <c r="A48" s="23"/>
      <c r="B48" s="27" t="str">
        <f t="shared" si="0"/>
        <v/>
      </c>
    </row>
    <row r="49" spans="1:2">
      <c r="A49" s="23"/>
      <c r="B49" s="27" t="str">
        <f t="shared" si="0"/>
        <v/>
      </c>
    </row>
    <row r="50" spans="1:2">
      <c r="A50" s="23"/>
      <c r="B50" s="27" t="str">
        <f t="shared" si="0"/>
        <v/>
      </c>
    </row>
    <row r="51" spans="1:2">
      <c r="A51" s="23"/>
      <c r="B51" s="27" t="str">
        <f t="shared" si="0"/>
        <v/>
      </c>
    </row>
    <row r="52" spans="1:2">
      <c r="A52" s="23"/>
      <c r="B52" s="27" t="str">
        <f t="shared" si="0"/>
        <v/>
      </c>
    </row>
    <row r="53" spans="1:2">
      <c r="A53" s="23"/>
      <c r="B53" s="27" t="str">
        <f t="shared" si="0"/>
        <v/>
      </c>
    </row>
    <row r="54" spans="1:2">
      <c r="A54" s="23"/>
      <c r="B54" s="27" t="str">
        <f t="shared" si="0"/>
        <v/>
      </c>
    </row>
    <row r="55" spans="1:2">
      <c r="A55" s="23"/>
      <c r="B55" s="27" t="str">
        <f t="shared" si="0"/>
        <v/>
      </c>
    </row>
    <row r="56" spans="1:2">
      <c r="A56" s="23"/>
      <c r="B56" s="27" t="str">
        <f t="shared" si="0"/>
        <v/>
      </c>
    </row>
    <row r="57" spans="1:2">
      <c r="A57" s="23"/>
      <c r="B57" s="27" t="str">
        <f t="shared" si="0"/>
        <v/>
      </c>
    </row>
    <row r="58" spans="1:2">
      <c r="A58" s="23"/>
      <c r="B58" s="27" t="str">
        <f t="shared" si="0"/>
        <v/>
      </c>
    </row>
    <row r="59" spans="1:2">
      <c r="A59" s="3"/>
      <c r="B59" s="27" t="str">
        <f t="shared" si="0"/>
        <v/>
      </c>
    </row>
    <row r="60" spans="1:2">
      <c r="A60" s="23"/>
      <c r="B60" s="27" t="str">
        <f t="shared" si="0"/>
        <v/>
      </c>
    </row>
    <row r="61" spans="1:2">
      <c r="A61" s="23"/>
      <c r="B61" s="27" t="str">
        <f t="shared" si="0"/>
        <v/>
      </c>
    </row>
    <row r="62" spans="1:2">
      <c r="A62" s="23"/>
      <c r="B62" s="27" t="str">
        <f t="shared" si="0"/>
        <v/>
      </c>
    </row>
    <row r="63" spans="1:2">
      <c r="A63" s="23"/>
      <c r="B63" s="27" t="str">
        <f t="shared" si="0"/>
        <v/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變數</vt:lpstr>
      <vt:lpstr>DEFINITION</vt:lpstr>
      <vt:lpstr>SETUP</vt:lpstr>
      <vt:lpstr>Set_subMqtt</vt:lpstr>
      <vt:lpstr>SETUP(1次會變動)</vt:lpstr>
      <vt:lpstr>FUNCTION</vt:lpstr>
      <vt:lpstr>Func_getAr</vt:lpstr>
      <vt:lpstr>LOOP_init</vt:lpstr>
      <vt:lpstr>LOOP_init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AMANI</dc:creator>
  <cp:lastModifiedBy>user</cp:lastModifiedBy>
  <dcterms:created xsi:type="dcterms:W3CDTF">2023-05-06T03:44:48Z</dcterms:created>
  <dcterms:modified xsi:type="dcterms:W3CDTF">2023-12-12T07:53:45Z</dcterms:modified>
</cp:coreProperties>
</file>