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CarModule\"/>
    </mc:Choice>
  </mc:AlternateContent>
  <xr:revisionPtr revIDLastSave="0" documentId="13_ncr:1_{AD7D5E7E-48B0-45BA-821B-31736BCD87C0}" xr6:coauthVersionLast="47" xr6:coauthVersionMax="47" xr10:uidLastSave="{00000000-0000-0000-0000-000000000000}"/>
  <bookViews>
    <workbookView xWindow="-120" yWindow="-120" windowWidth="15600" windowHeight="11160" activeTab="1" xr2:uid="{00000000-000D-0000-FFFF-FFFF00000000}"/>
  </bookViews>
  <sheets>
    <sheet name="工作表1" sheetId="1" r:id="rId1"/>
    <sheet name="G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2" l="1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M29" i="1"/>
  <c r="N29" i="1"/>
  <c r="O29" i="1"/>
  <c r="M30" i="1"/>
  <c r="N30" i="1"/>
  <c r="O30" i="1"/>
  <c r="M31" i="1"/>
  <c r="N31" i="1"/>
  <c r="O31" i="1"/>
  <c r="M32" i="1"/>
  <c r="N32" i="1"/>
  <c r="O32" i="1"/>
  <c r="L30" i="1"/>
  <c r="L31" i="1"/>
  <c r="L32" i="1"/>
  <c r="L29" i="1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G33" i="1" l="1"/>
  <c r="G34" i="1" s="1"/>
  <c r="G35" i="1" s="1"/>
  <c r="O33" i="1"/>
  <c r="N33" i="1"/>
  <c r="M33" i="1"/>
  <c r="L33" i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  <c r="P33" i="1" l="1"/>
  <c r="P34" i="1" s="1"/>
  <c r="P35" i="1" s="1"/>
</calcChain>
</file>

<file path=xl/sharedStrings.xml><?xml version="1.0" encoding="utf-8"?>
<sst xmlns="http://schemas.openxmlformats.org/spreadsheetml/2006/main" count="53" uniqueCount="46">
  <si>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</si>
  <si>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</si>
  <si>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</si>
  <si>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</si>
  <si>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</si>
  <si>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</si>
  <si>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</si>
  <si>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</si>
  <si>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</si>
  <si>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</si>
  <si>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</si>
  <si>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</si>
  <si>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</si>
  <si>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</si>
  <si>
    <r>
      <t>安裝磁簧管的格子(</t>
    </r>
    <r>
      <rPr>
        <sz val="12"/>
        <color theme="9" tint="-0.249977111117893"/>
        <rFont val="新細明體"/>
        <family val="1"/>
        <charset val="136"/>
        <scheme val="minor"/>
      </rPr>
      <t>綠色</t>
    </r>
    <r>
      <rPr>
        <sz val="12"/>
        <color theme="1"/>
        <rFont val="新細明體"/>
        <family val="2"/>
        <charset val="136"/>
        <scheme val="minor"/>
      </rPr>
      <t>)</t>
    </r>
    <phoneticPr fontId="1" type="noConversion"/>
  </si>
  <si>
    <t>(0,1)</t>
  </si>
  <si>
    <t>(0,2)</t>
  </si>
  <si>
    <t>(0,3)</t>
  </si>
  <si>
    <t>(0,4)</t>
  </si>
  <si>
    <t>(0,5)</t>
  </si>
  <si>
    <t>(1,0)</t>
  </si>
  <si>
    <t>(1,1)</t>
  </si>
  <si>
    <t>(1,2)</t>
  </si>
  <si>
    <t>(1,3)</t>
  </si>
  <si>
    <t>(1,4)</t>
  </si>
  <si>
    <t>(1,5)</t>
  </si>
  <si>
    <t>(2,1)</t>
  </si>
  <si>
    <t>(2,2)</t>
  </si>
  <si>
    <t>(2,3)</t>
  </si>
  <si>
    <t>(2,4)</t>
  </si>
  <si>
    <t>(2,5)</t>
  </si>
  <si>
    <t>(3,0)</t>
  </si>
  <si>
    <t>(3,1)</t>
  </si>
  <si>
    <t>(3,2)</t>
  </si>
  <si>
    <t>(3,3)</t>
  </si>
  <si>
    <t>(3,4)</t>
  </si>
  <si>
    <t>(3,5)</t>
  </si>
  <si>
    <t>GPS座標</t>
    <phoneticPr fontId="1" type="noConversion"/>
  </si>
  <si>
    <t>X1</t>
    <phoneticPr fontId="1" type="noConversion"/>
  </si>
  <si>
    <t>X2</t>
    <phoneticPr fontId="1" type="noConversion"/>
  </si>
  <si>
    <t>Y1</t>
    <phoneticPr fontId="1" type="noConversion"/>
  </si>
  <si>
    <t>Y2</t>
    <phoneticPr fontId="1" type="noConversion"/>
  </si>
  <si>
    <t>(X2,Y2)</t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</si>
  <si>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(X1+(X2-X1)/5),Y1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</si>
  <si>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</si>
  <si>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X1,(Y1+(Y2-Y1)/3)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</si>
</sst>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m&quot;"/>
    <numFmt numFmtId="187" formatCode="0.0000000000000"/>
    <numFmt numFmtId="189" formatCode="0.000000000000000"/>
    <numFmt numFmtId="191" formatCode="0.000000000000000_ "/>
  </numFmts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  <font>
      <sz val="12"/>
      <color theme="9" tint="-0.249977111117893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12"/>
      <color theme="4"/>
      <name val="新細明體"/>
      <family val="2"/>
      <charset val="136"/>
      <scheme val="minor"/>
    </font>
    <font>
      <sz val="8"/>
      <color theme="4"/>
      <name val="新細明體"/>
      <family val="1"/>
      <charset val="136"/>
      <scheme val="minor"/>
    </font>
    <font>
      <sz val="12"/>
      <color theme="4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  <xf numFmtId="187" fontId="0" fillId="0" borderId="0" xfId="0" applyNumberFormat="1">
      <alignment vertical="center"/>
    </xf>
    <xf numFmtId="189" fontId="0" fillId="0" borderId="0" xfId="0" applyNumberFormat="1">
      <alignment vertical="center"/>
    </xf>
    <xf numFmtId="191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187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10" fillId="0" borderId="1" xfId="0" applyFont="1" applyBorder="1">
      <alignment vertical="center"/>
    </xf>
  </cellXfs>
  <cellStyles count="1">
    <cellStyle name="一般" xfId="0" builtinId="0"/>
  </cellStyles>
  <dxfs count="4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showGridLines="0" topLeftCell="B34" zoomScale="130" zoomScaleNormal="130" workbookViewId="0">
      <selection activeCell="J48" sqref="J48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9" width="5.625" customWidth="1"/>
    <col min="10" max="10" width="26" bestFit="1" customWidth="1"/>
    <col min="11" max="16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2" t="str">
        <f t="shared" si="4"/>
        <v>(0,5)</v>
      </c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1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16">
      <c r="B18" s="4" t="s">
        <v>0</v>
      </c>
      <c r="C18" t="s">
        <v>8</v>
      </c>
    </row>
    <row r="19" spans="1:16">
      <c r="B19" s="6" t="s">
        <v>1</v>
      </c>
      <c r="C19" t="s">
        <v>2</v>
      </c>
    </row>
    <row r="20" spans="1:16">
      <c r="B20" s="16" t="s">
        <v>10</v>
      </c>
      <c r="C20" t="s">
        <v>11</v>
      </c>
    </row>
    <row r="21" spans="1:16">
      <c r="B21" s="5" t="s">
        <v>9</v>
      </c>
      <c r="C21" t="s">
        <v>3</v>
      </c>
    </row>
    <row r="28" spans="1:16">
      <c r="B28" t="s">
        <v>12</v>
      </c>
      <c r="K28" t="s">
        <v>12</v>
      </c>
    </row>
    <row r="29" spans="1:16">
      <c r="B29" s="10"/>
      <c r="C29" s="11">
        <v>150</v>
      </c>
      <c r="D29" s="11">
        <v>180</v>
      </c>
      <c r="E29" s="11">
        <v>210</v>
      </c>
      <c r="F29" s="11">
        <v>240</v>
      </c>
      <c r="G29" s="12"/>
      <c r="K29" s="10"/>
      <c r="L29" s="11">
        <f>C29+20</f>
        <v>170</v>
      </c>
      <c r="M29" s="11">
        <f t="shared" ref="M29:O32" si="10">D29+20</f>
        <v>200</v>
      </c>
      <c r="N29" s="11">
        <f t="shared" si="10"/>
        <v>230</v>
      </c>
      <c r="O29" s="11">
        <f t="shared" si="10"/>
        <v>260</v>
      </c>
      <c r="P29" s="12"/>
    </row>
    <row r="30" spans="1:16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ref="L30:L32" si="11">C30+20</f>
        <v>140</v>
      </c>
      <c r="M30" s="11">
        <f t="shared" si="10"/>
        <v>170</v>
      </c>
      <c r="N30" s="11">
        <f t="shared" si="10"/>
        <v>200</v>
      </c>
      <c r="O30" s="11">
        <f t="shared" si="10"/>
        <v>230</v>
      </c>
      <c r="P30" s="13"/>
    </row>
    <row r="31" spans="1:16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1"/>
        <v>110</v>
      </c>
      <c r="M31" s="11">
        <f t="shared" si="10"/>
        <v>140</v>
      </c>
      <c r="N31" s="11">
        <f t="shared" si="10"/>
        <v>170</v>
      </c>
      <c r="O31" s="11">
        <f t="shared" si="10"/>
        <v>200</v>
      </c>
      <c r="P31" s="13"/>
    </row>
    <row r="32" spans="1:16">
      <c r="A32" s="17" t="s">
        <v>11</v>
      </c>
      <c r="B32" s="11"/>
      <c r="C32" s="11">
        <v>60</v>
      </c>
      <c r="D32" s="11">
        <v>90</v>
      </c>
      <c r="E32" s="11">
        <v>120</v>
      </c>
      <c r="F32" s="11">
        <v>150</v>
      </c>
      <c r="G32" s="14"/>
      <c r="J32" s="17" t="s">
        <v>11</v>
      </c>
      <c r="K32" s="11"/>
      <c r="L32" s="11">
        <f t="shared" si="11"/>
        <v>80</v>
      </c>
      <c r="M32" s="11">
        <f t="shared" si="10"/>
        <v>110</v>
      </c>
      <c r="N32" s="11">
        <f t="shared" si="10"/>
        <v>140</v>
      </c>
      <c r="O32" s="11">
        <f t="shared" si="10"/>
        <v>170</v>
      </c>
      <c r="P32" s="14"/>
    </row>
    <row r="33" spans="1:17">
      <c r="C33">
        <f>SUM(C29:C32)</f>
        <v>420</v>
      </c>
      <c r="D33">
        <f t="shared" ref="D33:F33" si="12">SUM(D29:D32)</f>
        <v>540</v>
      </c>
      <c r="E33">
        <f t="shared" si="12"/>
        <v>660</v>
      </c>
      <c r="F33">
        <f t="shared" si="12"/>
        <v>780</v>
      </c>
      <c r="G33">
        <f>SUM(C33:F33)</f>
        <v>2400</v>
      </c>
      <c r="L33">
        <f>SUM(L29:L32)</f>
        <v>500</v>
      </c>
      <c r="M33">
        <f t="shared" ref="M33" si="13">SUM(M29:M32)</f>
        <v>620</v>
      </c>
      <c r="N33">
        <f t="shared" ref="N33" si="14">SUM(N29:N32)</f>
        <v>740</v>
      </c>
      <c r="O33">
        <f t="shared" ref="O33" si="15">SUM(O29:O32)</f>
        <v>860</v>
      </c>
      <c r="P33">
        <f>SUM(L33:O33)</f>
        <v>2720</v>
      </c>
    </row>
    <row r="34" spans="1:17">
      <c r="G34" s="18">
        <f>G33/100</f>
        <v>24</v>
      </c>
      <c r="H34" t="s">
        <v>13</v>
      </c>
      <c r="P34" s="18">
        <f>P33/100</f>
        <v>27.2</v>
      </c>
      <c r="Q34" t="s">
        <v>13</v>
      </c>
    </row>
    <row r="35" spans="1:17">
      <c r="G35" s="18">
        <f>G34*3</f>
        <v>72</v>
      </c>
      <c r="P35" s="18">
        <f>P34*3</f>
        <v>81.599999999999994</v>
      </c>
    </row>
    <row r="37" spans="1:17">
      <c r="B37" t="s">
        <v>14</v>
      </c>
    </row>
    <row r="38" spans="1:17">
      <c r="B38">
        <v>0</v>
      </c>
      <c r="C38">
        <v>1</v>
      </c>
      <c r="D38">
        <v>2</v>
      </c>
      <c r="E38">
        <v>3</v>
      </c>
      <c r="F38">
        <v>4</v>
      </c>
      <c r="G38">
        <v>5</v>
      </c>
    </row>
    <row r="39" spans="1:17">
      <c r="A39">
        <v>0</v>
      </c>
      <c r="B39" s="1" t="s">
        <v>0</v>
      </c>
      <c r="C39" s="6" t="s">
        <v>15</v>
      </c>
      <c r="D39" s="6" t="s">
        <v>16</v>
      </c>
      <c r="E39" s="6" t="s">
        <v>17</v>
      </c>
      <c r="F39" s="6" t="s">
        <v>18</v>
      </c>
      <c r="G39" s="1" t="s">
        <v>19</v>
      </c>
    </row>
    <row r="40" spans="1:17">
      <c r="A40">
        <v>1</v>
      </c>
      <c r="B40" s="1" t="s">
        <v>20</v>
      </c>
      <c r="C40" s="6" t="s">
        <v>21</v>
      </c>
      <c r="D40" s="6" t="s">
        <v>22</v>
      </c>
      <c r="E40" s="6" t="s">
        <v>23</v>
      </c>
      <c r="F40" s="6" t="s">
        <v>24</v>
      </c>
      <c r="G40" s="1" t="s">
        <v>25</v>
      </c>
    </row>
    <row r="41" spans="1:17">
      <c r="A41">
        <v>2</v>
      </c>
      <c r="B41" s="1" t="s">
        <v>1</v>
      </c>
      <c r="C41" s="6" t="s">
        <v>26</v>
      </c>
      <c r="D41" s="6" t="s">
        <v>27</v>
      </c>
      <c r="E41" s="6" t="s">
        <v>28</v>
      </c>
      <c r="F41" s="6" t="s">
        <v>29</v>
      </c>
      <c r="G41" s="1" t="s">
        <v>30</v>
      </c>
    </row>
    <row r="42" spans="1:17">
      <c r="A42">
        <v>3</v>
      </c>
      <c r="B42" s="1" t="s">
        <v>31</v>
      </c>
      <c r="C42" s="6" t="s">
        <v>32</v>
      </c>
      <c r="D42" s="6" t="s">
        <v>33</v>
      </c>
      <c r="E42" s="6" t="s">
        <v>34</v>
      </c>
      <c r="F42" s="6" t="s">
        <v>35</v>
      </c>
      <c r="G42" s="1" t="s">
        <v>36</v>
      </c>
    </row>
    <row r="45" spans="1:17">
      <c r="J45" s="19"/>
    </row>
    <row r="47" spans="1:17">
      <c r="J47" s="20"/>
    </row>
    <row r="48" spans="1:17">
      <c r="J48" s="20"/>
    </row>
    <row r="49" spans="10:10">
      <c r="J49" s="20"/>
    </row>
    <row r="50" spans="10:10">
      <c r="J50" s="20"/>
    </row>
  </sheetData>
  <phoneticPr fontId="1" type="noConversion"/>
  <conditionalFormatting sqref="J13:O16">
    <cfRule type="cellIs" dxfId="3" priority="4" operator="equal">
      <formula>0</formula>
    </cfRule>
  </conditionalFormatting>
  <conditionalFormatting sqref="C13:F16">
    <cfRule type="expression" dxfId="2" priority="3">
      <formula>K13=0</formula>
    </cfRule>
  </conditionalFormatting>
  <conditionalFormatting sqref="C29:F32">
    <cfRule type="expression" dxfId="1" priority="2">
      <formula>K29=0</formula>
    </cfRule>
  </conditionalFormatting>
  <conditionalFormatting sqref="L29:O32">
    <cfRule type="expression" dxfId="0" priority="1">
      <formula>T29=0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2DF4-BBF0-48FD-AF98-588E17F9C7F6}">
  <dimension ref="A1:J22"/>
  <sheetViews>
    <sheetView tabSelected="1" topLeftCell="A12" zoomScale="130" zoomScaleNormal="130" workbookViewId="0">
      <selection activeCell="D19" sqref="D19"/>
    </sheetView>
  </sheetViews>
  <sheetFormatPr defaultRowHeight="16.5"/>
  <cols>
    <col min="1" max="1" width="3.875" customWidth="1"/>
    <col min="2" max="7" width="13" customWidth="1"/>
    <col min="8" max="8" width="6.75" customWidth="1"/>
    <col min="10" max="10" width="21.125" bestFit="1" customWidth="1"/>
  </cols>
  <sheetData>
    <row r="1" spans="1:10">
      <c r="B1" t="s">
        <v>37</v>
      </c>
      <c r="J1" s="19"/>
    </row>
    <row r="2" spans="1:10">
      <c r="A2" s="23" t="s">
        <v>38</v>
      </c>
      <c r="B2" s="24">
        <v>25.075442061456801</v>
      </c>
      <c r="J2" s="19"/>
    </row>
    <row r="3" spans="1:10">
      <c r="A3" s="25" t="s">
        <v>40</v>
      </c>
      <c r="B3" s="24">
        <v>121.545006388793</v>
      </c>
      <c r="J3" s="19"/>
    </row>
    <row r="4" spans="1:10">
      <c r="A4" s="25" t="s">
        <v>39</v>
      </c>
      <c r="B4" s="24">
        <v>25.073607005990301</v>
      </c>
      <c r="J4" s="19"/>
    </row>
    <row r="5" spans="1:10">
      <c r="A5" s="25" t="s">
        <v>41</v>
      </c>
      <c r="B5" s="24">
        <v>121.548662194024</v>
      </c>
      <c r="J5" s="19"/>
    </row>
    <row r="6" spans="1:10">
      <c r="J6" s="19"/>
    </row>
    <row r="7" spans="1:10">
      <c r="B7">
        <v>0</v>
      </c>
      <c r="C7">
        <v>1</v>
      </c>
      <c r="D7">
        <v>2</v>
      </c>
      <c r="E7">
        <v>3</v>
      </c>
      <c r="F7">
        <v>4</v>
      </c>
      <c r="G7">
        <v>5</v>
      </c>
    </row>
    <row r="8" spans="1:10" ht="28.5">
      <c r="A8">
        <v>0</v>
      </c>
      <c r="B8" s="21" t="str">
        <f>$B$2&amp;CHAR(10)&amp;$B$3</f>
        <v>25.0754420614568
121.545006388793</v>
      </c>
      <c r="C8" s="22" t="str">
        <f>$B$2&amp;CHAR(10)&amp;($B$3+($B$5-$B$3)/5)</f>
        <v>25.0754420614568
121.545737549839</v>
      </c>
      <c r="D8" s="22" t="str">
        <f>$B$2&amp;CHAR(10)&amp;($B$3+2*($B$5-$B$3)/5)</f>
        <v>25.0754420614568
121.546468710885</v>
      </c>
      <c r="E8" s="22" t="str">
        <f>$B$2&amp;CHAR(10)&amp;($B$3+3*($B$5-$B$3)/5)</f>
        <v>25.0754420614568
121.547199871932</v>
      </c>
      <c r="F8" s="22" t="str">
        <f>$B$2&amp;CHAR(10)&amp;($B$3+4*($B$5-$B$3)/5)</f>
        <v>25.0754420614568
121.547931032978</v>
      </c>
      <c r="G8" s="22" t="str">
        <f>$B$2&amp;CHAR(10)&amp;($B$3+5*($B$5-$B$3)/5)</f>
        <v>25.0754420614568
121.548662194024</v>
      </c>
    </row>
    <row r="9" spans="1:10" ht="28.5" customHeight="1">
      <c r="A9">
        <v>1</v>
      </c>
      <c r="B9" s="22" t="str">
        <f>($B$2+($B$4-$B$2)/3)&amp;CHAR(10)&amp;$B$3</f>
        <v>25.0748303763013
121.545006388793</v>
      </c>
      <c r="C9" s="22" t="str">
        <f>($B$2+($B$4-$B$2)/3)&amp;CHAR(10)&amp;($B$3+($B$5-$B$3)/5)</f>
        <v>25.0748303763013
121.545737549839</v>
      </c>
      <c r="D9" s="22" t="str">
        <f>($B$2+($B$4-$B$2)/3)&amp;CHAR(10)&amp;($B$3+2*($B$5-$B$3)/5)</f>
        <v>25.0748303763013
121.546468710885</v>
      </c>
      <c r="E9" s="22" t="str">
        <f>($B$2+($B$4-$B$2)/3)&amp;CHAR(10)&amp;($B$3+3*($B$5-$B$3)/5)</f>
        <v>25.0748303763013
121.547199871932</v>
      </c>
      <c r="F9" s="22" t="str">
        <f>($B$2+($B$4-$B$2)/3)&amp;CHAR(10)&amp;($B$3+4*($B$5-$B$3)/5)</f>
        <v>25.0748303763013
121.547931032978</v>
      </c>
      <c r="G9" s="22" t="str">
        <f>($B$2+($B$4-$B$2)/3)&amp;CHAR(10)&amp;($B$3+5*($B$5-$B$3)/5)</f>
        <v>25.0748303763013
121.548662194024</v>
      </c>
    </row>
    <row r="10" spans="1:10" ht="28.5" customHeight="1">
      <c r="A10">
        <v>2</v>
      </c>
      <c r="B10" s="22" t="str">
        <f>($B$2+2*($B$4-$B$2)/3)&amp;CHAR(10)&amp;$B$3</f>
        <v>25.0742186911458
121.545006388793</v>
      </c>
      <c r="C10" s="22" t="str">
        <f>($B$2+2*($B$4-$B$2)/3)&amp;CHAR(10)&amp;($B$3+($B$5-$B$3)/5)</f>
        <v>25.0742186911458
121.545737549839</v>
      </c>
      <c r="D10" s="22" t="str">
        <f>($B$2+2*($B$4-$B$2)/3)&amp;CHAR(10)&amp;($B$3+2*($B$5-$B$3)/5)</f>
        <v>25.0742186911458
121.546468710885</v>
      </c>
      <c r="E10" s="22" t="str">
        <f>($B$2+2*($B$4-$B$2)/3)&amp;CHAR(10)&amp;($B$3+3*($B$5-$B$3)/5)</f>
        <v>25.0742186911458
121.547199871932</v>
      </c>
      <c r="F10" s="22" t="str">
        <f>($B$2+2*($B$4-$B$2)/3)&amp;CHAR(10)&amp;($B$3+4*($B$5-$B$3)/5)</f>
        <v>25.0742186911458
121.547931032978</v>
      </c>
      <c r="G10" s="22" t="str">
        <f>($B$2+2*($B$4-$B$2)/3)&amp;CHAR(10)&amp;($B$3+5*($B$5-$B$3)/5)</f>
        <v>25.0742186911458
121.548662194024</v>
      </c>
    </row>
    <row r="11" spans="1:10" ht="28.5" customHeight="1">
      <c r="A11">
        <v>3</v>
      </c>
      <c r="B11" s="22" t="str">
        <f>($B$2+3*($B$4-$B$2)/3)&amp;CHAR(10)&amp;$B$3</f>
        <v>25.0736070059903
121.545006388793</v>
      </c>
      <c r="C11" s="22" t="str">
        <f>($B$2+3*($B$4-$B$2)/3)&amp;CHAR(10)&amp;($B$3+($B$5-$B$3)/5)</f>
        <v>25.0736070059903
121.545737549839</v>
      </c>
      <c r="D11" s="22" t="str">
        <f>($B$2+3*($B$4-$B$2)/3)&amp;CHAR(10)&amp;($B$3+2*($B$5-$B$3)/5)</f>
        <v>25.0736070059903
121.546468710885</v>
      </c>
      <c r="E11" s="22" t="str">
        <f>($B$2+3*($B$4-$B$2)/3)&amp;CHAR(10)&amp;($B$3+3*($B$5-$B$3)/5)</f>
        <v>25.0736070059903
121.547199871932</v>
      </c>
      <c r="F11" s="22" t="str">
        <f>($B$2+3*($B$4-$B$2)/3)&amp;CHAR(10)&amp;($B$3+4*($B$5-$B$3)/5)</f>
        <v>25.0736070059903
121.547931032978</v>
      </c>
      <c r="G11" s="22" t="str">
        <f>($B$2+3*($B$4-$B$2)/3)&amp;CHAR(10)&amp;($B$3+5*($B$5-$B$3)/5)</f>
        <v>25.0736070059903
121.548662194024</v>
      </c>
    </row>
    <row r="13" spans="1:10">
      <c r="B13" s="26" t="s">
        <v>44</v>
      </c>
      <c r="C13" s="26" t="s">
        <v>43</v>
      </c>
      <c r="D13" s="1"/>
      <c r="E13" s="1"/>
      <c r="F13" s="1"/>
      <c r="G13" s="1"/>
    </row>
    <row r="14" spans="1:10">
      <c r="B14" s="26" t="s">
        <v>45</v>
      </c>
      <c r="C14" s="1"/>
      <c r="D14" s="1"/>
      <c r="E14" s="1"/>
      <c r="F14" s="1"/>
      <c r="G14" s="1"/>
    </row>
    <row r="15" spans="1:10">
      <c r="B15" s="1"/>
      <c r="C15" s="1"/>
      <c r="D15" s="1"/>
      <c r="E15" s="1"/>
      <c r="F15" s="1"/>
      <c r="G15" s="1"/>
    </row>
    <row r="16" spans="1:10">
      <c r="B16" s="1"/>
      <c r="C16" s="1"/>
      <c r="D16" s="1"/>
      <c r="E16" s="1"/>
      <c r="F16" s="1"/>
      <c r="G16" s="1" t="s">
        <v>42</v>
      </c>
    </row>
    <row r="19" spans="2:7">
      <c r="B19" s="21"/>
      <c r="C19" s="22"/>
      <c r="D19" s="22"/>
      <c r="E19" s="22"/>
      <c r="F19" s="22"/>
      <c r="G19" s="22"/>
    </row>
    <row r="20" spans="2:7">
      <c r="B20" s="22"/>
      <c r="C20" s="22"/>
      <c r="D20" s="22"/>
      <c r="E20" s="22"/>
      <c r="F20" s="22"/>
      <c r="G20" s="22"/>
    </row>
    <row r="21" spans="2:7">
      <c r="B21" s="22"/>
      <c r="C21" s="22"/>
      <c r="D21" s="22"/>
      <c r="E21" s="22"/>
      <c r="F21" s="22"/>
      <c r="G21" s="22"/>
    </row>
    <row r="22" spans="2:7">
      <c r="B22" s="22"/>
      <c r="C22" s="22"/>
      <c r="D22" s="22"/>
      <c r="E22" s="22"/>
      <c r="F22" s="22"/>
      <c r="G22" s="2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GPS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2023-11-06T03:30:08Z</dcterms:modified>
</cp:coreProperties>
</file>